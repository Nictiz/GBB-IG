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tables/table5.xml" ContentType="application/vnd.openxmlformats-officedocument.spreadsheetml.table+xml"/>
  <Override PartName="/xl/drawings/drawing5.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edelman_nict1\IGs\GBB-IG\input\requirements\"/>
    </mc:Choice>
  </mc:AlternateContent>
  <xr:revisionPtr revIDLastSave="0" documentId="13_ncr:1_{226BB351-BD4C-4CF1-A382-640BB44A93DB}" xr6:coauthVersionLast="47" xr6:coauthVersionMax="47" xr10:uidLastSave="{00000000-0000-0000-0000-000000000000}"/>
  <bookViews>
    <workbookView xWindow="-120" yWindow="-120" windowWidth="29040" windowHeight="15720" firstSheet="1" activeTab="4" xr2:uid="{71855D19-E937-4D4D-85D2-5BCEBB780255}"/>
  </bookViews>
  <sheets>
    <sheet name="Uitleg" sheetId="5" r:id="rId1"/>
    <sheet name="Concept" sheetId="2" r:id="rId2"/>
    <sheet name="Concept (ENG)" sheetId="11" r:id="rId3"/>
    <sheet name="Informatie-requirements" sheetId="1" r:id="rId4"/>
    <sheet name="Information requirements (ENG)" sheetId="12" r:id="rId5"/>
    <sheet name="Bronnen" sheetId="6" r:id="rId6"/>
    <sheet name="Traceability matrix" sheetId="7" r:id="rId7"/>
    <sheet name="Overwegingen kiezen basismodel" sheetId="8" r:id="rId8"/>
    <sheet name="Base model considerations (ENG)" sheetId="14" r:id="rId9"/>
    <sheet name="Drop down menu'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1" l="1" a="1"/>
  <c r="B14" i="11" s="1"/>
  <c r="B13" i="11" a="1"/>
  <c r="B13" i="11" s="1"/>
  <c r="B3" i="14" a="1"/>
  <c r="B3" i="14" s="1"/>
  <c r="B4" i="14" a="1"/>
  <c r="B4" i="14" s="1"/>
  <c r="B7" i="12" a="1"/>
  <c r="B7" i="12" s="1"/>
  <c r="B3" i="7" a="1"/>
  <c r="B3" i="7" s="1"/>
  <c r="B4" i="7" a="1"/>
  <c r="B4" i="7" s="1"/>
  <c r="B5" i="7" a="1"/>
  <c r="B5" i="7" s="1"/>
  <c r="B6" i="7" a="1"/>
  <c r="B6" i="7" s="1"/>
  <c r="B7" i="7" a="1"/>
  <c r="B7" i="7" s="1"/>
  <c r="B8" i="7" a="1"/>
  <c r="B8" i="7" s="1"/>
  <c r="B9" i="7" a="1"/>
  <c r="B9" i="7" s="1"/>
  <c r="B10" i="7" a="1"/>
  <c r="B10" i="7" s="1"/>
  <c r="B11" i="7" a="1"/>
  <c r="B11" i="7" s="1"/>
  <c r="B12" i="7" a="1"/>
  <c r="B12" i="7" s="1"/>
  <c r="B13" i="7" a="1"/>
  <c r="B13" i="7" s="1"/>
  <c r="B14" i="7" a="1"/>
  <c r="B14" i="7" s="1"/>
  <c r="B15" i="7" a="1"/>
  <c r="B15" i="7" s="1"/>
  <c r="B16" i="7" a="1"/>
  <c r="B16" i="7" s="1"/>
  <c r="B17" i="7" a="1"/>
  <c r="B17" i="7" s="1"/>
  <c r="B18" i="7" a="1"/>
  <c r="B18" i="7" s="1"/>
  <c r="B19" i="7" a="1"/>
  <c r="B19" i="7" s="1"/>
  <c r="B20" i="7" a="1"/>
  <c r="B20" i="7" s="1"/>
  <c r="B21" i="7" a="1"/>
  <c r="B21" i="7" s="1"/>
  <c r="B22" i="7" a="1"/>
  <c r="B22" i="7" s="1"/>
  <c r="B23" i="7" a="1"/>
  <c r="B23" i="7" s="1"/>
  <c r="B24" i="7" a="1"/>
  <c r="B24" i="7" s="1"/>
  <c r="B25" i="7" a="1"/>
  <c r="B25" i="7" s="1"/>
  <c r="B26" i="7" a="1"/>
  <c r="B26" i="7" s="1"/>
  <c r="B27" i="7" a="1"/>
  <c r="B27" i="7" s="1"/>
  <c r="B28" i="7" a="1"/>
  <c r="B28" i="7" s="1"/>
  <c r="B29" i="7" a="1"/>
  <c r="B29" i="7" s="1"/>
  <c r="B30" i="7" a="1"/>
  <c r="B30" i="7" s="1"/>
  <c r="B31" i="7" a="1"/>
  <c r="B31" i="7" s="1"/>
  <c r="B32" i="7" a="1"/>
  <c r="B32" i="7" s="1"/>
  <c r="B33" i="7" a="1"/>
  <c r="B33" i="7" s="1"/>
  <c r="B34" i="7" a="1"/>
  <c r="B34" i="7" s="1"/>
  <c r="B35" i="7" a="1"/>
  <c r="B35" i="7" s="1"/>
  <c r="B36" i="7" a="1"/>
  <c r="B36" i="7" s="1"/>
  <c r="B37" i="7" a="1"/>
  <c r="B37" i="7" s="1"/>
  <c r="A3" i="7" a="1"/>
  <c r="A3" i="7" s="1"/>
  <c r="A4" i="7" a="1"/>
  <c r="A4" i="7" s="1"/>
  <c r="A5" i="7" a="1"/>
  <c r="A5" i="7" s="1"/>
  <c r="A6" i="7" a="1"/>
  <c r="A6" i="7" s="1"/>
  <c r="A7" i="7" a="1"/>
  <c r="A7" i="7" s="1"/>
  <c r="A8" i="7" a="1"/>
  <c r="A8" i="7" s="1"/>
  <c r="A9" i="7" a="1"/>
  <c r="A9" i="7" s="1"/>
  <c r="A10" i="7" a="1"/>
  <c r="A10" i="7" s="1"/>
  <c r="A11" i="7" a="1"/>
  <c r="A11" i="7" s="1"/>
  <c r="A12" i="7" a="1"/>
  <c r="A12" i="7" s="1"/>
  <c r="A13" i="7" a="1"/>
  <c r="A13" i="7" s="1"/>
  <c r="A14" i="7" a="1"/>
  <c r="A14" i="7" s="1"/>
  <c r="A15" i="7" a="1"/>
  <c r="A15" i="7" s="1"/>
  <c r="A16" i="7" a="1"/>
  <c r="A16" i="7" s="1"/>
  <c r="A17" i="7" a="1"/>
  <c r="A17" i="7" s="1"/>
  <c r="A18" i="7" a="1"/>
  <c r="A18" i="7" s="1"/>
  <c r="A19" i="7" a="1"/>
  <c r="A19" i="7" s="1"/>
  <c r="A20" i="7" a="1"/>
  <c r="A20" i="7" s="1"/>
  <c r="A21" i="7" a="1"/>
  <c r="A21" i="7" s="1"/>
  <c r="A22" i="7" a="1"/>
  <c r="A22" i="7" s="1"/>
  <c r="A23" i="7" a="1"/>
  <c r="A23" i="7" s="1"/>
  <c r="A24" i="7" a="1"/>
  <c r="A24" i="7" s="1"/>
  <c r="A25" i="7" a="1"/>
  <c r="A25" i="7" s="1"/>
  <c r="A26" i="7" a="1"/>
  <c r="A26" i="7" s="1"/>
  <c r="A27" i="7" a="1"/>
  <c r="A27" i="7" s="1"/>
  <c r="A28" i="7" a="1"/>
  <c r="A28" i="7" s="1"/>
  <c r="A29" i="7" a="1"/>
  <c r="A29" i="7" s="1"/>
  <c r="A30" i="7" a="1"/>
  <c r="A30" i="7" s="1"/>
  <c r="A31" i="7" a="1"/>
  <c r="A31" i="7" s="1"/>
  <c r="A32" i="7" a="1"/>
  <c r="A32" i="7" s="1"/>
  <c r="A33" i="7" a="1"/>
  <c r="A33" i="7" s="1"/>
  <c r="A34" i="7" a="1"/>
  <c r="A34" i="7" s="1"/>
  <c r="A35" i="7" a="1"/>
  <c r="A35" i="7" s="1"/>
  <c r="A36" i="7" a="1"/>
  <c r="A36" i="7" s="1"/>
  <c r="A37" i="7" a="1"/>
  <c r="A37" i="7" s="1"/>
  <c r="B3" i="12" a="1"/>
  <c r="B3" i="12" s="1"/>
  <c r="B4" i="12" a="1"/>
  <c r="B4" i="12" s="1"/>
  <c r="B5" i="12" a="1"/>
  <c r="B5" i="12" s="1"/>
  <c r="B6" i="12" a="1"/>
  <c r="B6" i="12" s="1"/>
  <c r="B8" i="12" a="1"/>
  <c r="B8" i="12" s="1"/>
  <c r="B9" i="12" a="1"/>
  <c r="B9" i="12" s="1"/>
  <c r="B10" i="12" a="1"/>
  <c r="B10" i="12" s="1"/>
  <c r="B11" i="12" a="1"/>
  <c r="B11" i="12" s="1"/>
  <c r="B12" i="12" a="1"/>
  <c r="B12" i="12" s="1"/>
  <c r="B13" i="12" a="1"/>
  <c r="B13" i="12" s="1"/>
  <c r="B14" i="12" a="1"/>
  <c r="B14" i="12" s="1"/>
  <c r="B15" i="12" a="1"/>
  <c r="B15" i="12" s="1"/>
  <c r="B16" i="12" a="1"/>
  <c r="B16" i="12" s="1"/>
  <c r="B17" i="12" a="1"/>
  <c r="B17" i="12" s="1"/>
  <c r="B18" i="12" a="1"/>
  <c r="B18" i="12" s="1"/>
  <c r="B19" i="12" a="1"/>
  <c r="B19" i="12" s="1"/>
  <c r="B20" i="12" a="1"/>
  <c r="B20" i="12" s="1"/>
  <c r="B21" i="12" a="1"/>
  <c r="B21" i="12" s="1"/>
  <c r="B22" i="12" a="1"/>
  <c r="B22" i="12" s="1"/>
  <c r="B23" i="12" a="1"/>
  <c r="B23" i="12" s="1"/>
  <c r="B24" i="12" a="1"/>
  <c r="B24" i="12" s="1"/>
  <c r="B25" i="12" a="1"/>
  <c r="B25" i="12" s="1"/>
  <c r="B26" i="12" a="1"/>
  <c r="B26" i="12" s="1"/>
  <c r="B27" i="12" a="1"/>
  <c r="B27" i="12" s="1"/>
  <c r="B28" i="12" a="1"/>
  <c r="B28" i="12" s="1"/>
  <c r="B29" i="12" a="1"/>
  <c r="B29" i="12" s="1"/>
  <c r="B30" i="12" a="1"/>
  <c r="B30" i="12" s="1"/>
  <c r="B31" i="12" a="1"/>
  <c r="B31" i="12" s="1"/>
  <c r="B32" i="12" a="1"/>
  <c r="B32" i="12" s="1"/>
  <c r="B33" i="12" a="1"/>
  <c r="B33" i="12" s="1"/>
  <c r="B34" i="12" a="1"/>
  <c r="B34" i="12" s="1"/>
  <c r="B35" i="12" a="1"/>
  <c r="B35" i="12" s="1"/>
  <c r="B36" i="12" a="1"/>
  <c r="B36" i="12" s="1"/>
  <c r="B37" i="12" a="1"/>
  <c r="B37" i="12" s="1"/>
  <c r="J34" i="12"/>
  <c r="J35" i="12"/>
  <c r="I35" i="12" a="1"/>
  <c r="I35" i="12" s="1"/>
  <c r="I36" i="12" a="1"/>
  <c r="I36" i="12" s="1"/>
  <c r="I37" i="12" a="1"/>
  <c r="I37" i="12" s="1"/>
  <c r="A37" i="12" a="1"/>
  <c r="A37" i="12" s="1"/>
  <c r="J37" i="12"/>
  <c r="K37" i="12"/>
  <c r="A36" i="12" a="1"/>
  <c r="A36" i="12" s="1"/>
  <c r="J36" i="12"/>
  <c r="K36" i="12"/>
  <c r="A35" i="12" a="1"/>
  <c r="A35" i="12" s="1"/>
  <c r="K35"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I3" i="12" a="1"/>
  <c r="I3" i="12" s="1"/>
  <c r="I4" i="12" a="1"/>
  <c r="I4" i="12" s="1"/>
  <c r="I5" i="12" a="1"/>
  <c r="I5" i="12" s="1"/>
  <c r="I6" i="12" a="1"/>
  <c r="I6" i="12" s="1"/>
  <c r="I7" i="12" a="1"/>
  <c r="I7" i="12" s="1"/>
  <c r="I8" i="12" a="1"/>
  <c r="I8" i="12" s="1"/>
  <c r="I9" i="12" a="1"/>
  <c r="I9" i="12" s="1"/>
  <c r="I10" i="12" a="1"/>
  <c r="I10" i="12" s="1"/>
  <c r="I11" i="12" a="1"/>
  <c r="I11" i="12" s="1"/>
  <c r="I12" i="12" a="1"/>
  <c r="I12" i="12" s="1"/>
  <c r="I13" i="12" a="1"/>
  <c r="I13" i="12" s="1"/>
  <c r="I14" i="12" a="1"/>
  <c r="I14" i="12" s="1"/>
  <c r="I15" i="12" a="1"/>
  <c r="I15" i="12" s="1"/>
  <c r="I16" i="12" a="1"/>
  <c r="I16" i="12" s="1"/>
  <c r="I17" i="12" a="1"/>
  <c r="I17" i="12" s="1"/>
  <c r="I18" i="12" a="1"/>
  <c r="I18" i="12" s="1"/>
  <c r="I19" i="12" a="1"/>
  <c r="I19" i="12" s="1"/>
  <c r="I20" i="12" a="1"/>
  <c r="I20" i="12" s="1"/>
  <c r="I21" i="12" a="1"/>
  <c r="I21" i="12" s="1"/>
  <c r="I22" i="12" a="1"/>
  <c r="I22" i="12" s="1"/>
  <c r="I23" i="12" a="1"/>
  <c r="I23" i="12" s="1"/>
  <c r="I24" i="12" a="1"/>
  <c r="I24" i="12" s="1"/>
  <c r="I25" i="12" a="1"/>
  <c r="I25" i="12" s="1"/>
  <c r="I26" i="12" a="1"/>
  <c r="I26" i="12" s="1"/>
  <c r="I27" i="12" a="1"/>
  <c r="I27" i="12" s="1"/>
  <c r="I28" i="12" a="1"/>
  <c r="I28" i="12" s="1"/>
  <c r="I29" i="12" a="1"/>
  <c r="I29" i="12" s="1"/>
  <c r="I30" i="12" a="1"/>
  <c r="I30" i="12" s="1"/>
  <c r="I31" i="12" a="1"/>
  <c r="I31" i="12" s="1"/>
  <c r="I32" i="12" a="1"/>
  <c r="I32" i="12" s="1"/>
  <c r="I33" i="12" a="1"/>
  <c r="I33" i="12" s="1"/>
  <c r="I34" i="12" a="1"/>
  <c r="I34" i="12" s="1"/>
  <c r="A3" i="12" a="1"/>
  <c r="A3" i="12" s="1"/>
  <c r="A4" i="12" a="1"/>
  <c r="A4" i="12" s="1"/>
  <c r="A5" i="12" a="1"/>
  <c r="A5" i="12" s="1"/>
  <c r="A6" i="12" a="1"/>
  <c r="A6" i="12" s="1"/>
  <c r="A7" i="12" a="1"/>
  <c r="A7" i="12" s="1"/>
  <c r="A8" i="12" a="1"/>
  <c r="A8" i="12" s="1"/>
  <c r="A9" i="12" a="1"/>
  <c r="A9" i="12" s="1"/>
  <c r="A10" i="12" a="1"/>
  <c r="A10" i="12" s="1"/>
  <c r="A11" i="12" a="1"/>
  <c r="A11" i="12" s="1"/>
  <c r="A12" i="12" a="1"/>
  <c r="A12" i="12" s="1"/>
  <c r="A13" i="12" a="1"/>
  <c r="A13" i="12" s="1"/>
  <c r="A14" i="12" a="1"/>
  <c r="A14" i="12" s="1"/>
  <c r="A15" i="12" a="1"/>
  <c r="A15" i="12" s="1"/>
  <c r="A16" i="12" a="1"/>
  <c r="A16" i="12" s="1"/>
  <c r="A17" i="12" a="1"/>
  <c r="A17" i="12" s="1"/>
  <c r="A18" i="12" a="1"/>
  <c r="A18" i="12" s="1"/>
  <c r="A19" i="12" a="1"/>
  <c r="A19" i="12" s="1"/>
  <c r="A20" i="12" a="1"/>
  <c r="A20" i="12" s="1"/>
  <c r="A21" i="12" a="1"/>
  <c r="A21" i="12" s="1"/>
  <c r="A22" i="12" a="1"/>
  <c r="A22" i="12" s="1"/>
  <c r="A23" i="12" a="1"/>
  <c r="A23" i="12" s="1"/>
  <c r="A24" i="12" a="1"/>
  <c r="A24" i="12" s="1"/>
  <c r="A25" i="12" a="1"/>
  <c r="A25" i="12" s="1"/>
  <c r="A26" i="12" a="1"/>
  <c r="A26" i="12" s="1"/>
  <c r="A27" i="12" a="1"/>
  <c r="A27" i="12" s="1"/>
  <c r="A28" i="12" a="1"/>
  <c r="A28" i="12" s="1"/>
  <c r="A29" i="12" a="1"/>
  <c r="A29" i="12" s="1"/>
  <c r="A30" i="12" a="1"/>
  <c r="A30" i="12" s="1"/>
  <c r="A31" i="12" a="1"/>
  <c r="A31" i="12" s="1"/>
  <c r="A32" i="12" a="1"/>
  <c r="A32" i="12" s="1"/>
  <c r="A33" i="12" a="1"/>
  <c r="A33" i="12" s="1"/>
  <c r="A34" i="12" a="1"/>
  <c r="A34"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<sst xmlns="http://schemas.openxmlformats.org/spreadsheetml/2006/main" count="190" uniqueCount="143">
  <si>
    <t>Veld</t>
  </si>
  <si>
    <t>Conceptbeschrijving</t>
  </si>
  <si>
    <t>Doel</t>
  </si>
  <si>
    <t>Gebruiksscenario(’s)</t>
  </si>
  <si>
    <t>Representatie</t>
  </si>
  <si>
    <t>Alias(sen)</t>
  </si>
  <si>
    <t>Juist gebruik</t>
  </si>
  <si>
    <t>Onjuist gebruik</t>
  </si>
  <si>
    <t>ART-DECOR-id</t>
  </si>
  <si>
    <t>Omschrijving</t>
  </si>
  <si>
    <t>Variabiliteit</t>
  </si>
  <si>
    <t>Aanwezigheid</t>
  </si>
  <si>
    <t>FHIR</t>
  </si>
  <si>
    <t>openEHR</t>
  </si>
  <si>
    <t>Opmerkingen</t>
  </si>
  <si>
    <t>Onderbouwing</t>
  </si>
  <si>
    <t>Mapbaar op basismodel</t>
  </si>
  <si>
    <t>Opgenomen of niet-opgenomen</t>
  </si>
  <si>
    <t>Bouwblokcode</t>
  </si>
  <si>
    <t>Key</t>
  </si>
  <si>
    <t>Titel</t>
  </si>
  <si>
    <t>Bron</t>
  </si>
  <si>
    <t>Mogelijke basismodellen</t>
  </si>
  <si>
    <t>Gekozen basismodel</t>
  </si>
  <si>
    <t>Overwegingen</t>
  </si>
  <si>
    <t>Context voor toepassing</t>
  </si>
  <si>
    <t>Ja</t>
  </si>
  <si>
    <t>Nee</t>
  </si>
  <si>
    <t>Opgenomen informatiebehoefte</t>
  </si>
  <si>
    <t>Niet-opgenomen informatiebehoefte</t>
  </si>
  <si>
    <t>Opgenomen of niet-opgenomen informatiebehoefte</t>
  </si>
  <si>
    <t>Naam concept</t>
  </si>
  <si>
    <t>[nog in te vullen]</t>
  </si>
  <si>
    <t>[nog in te vullen]2</t>
  </si>
  <si>
    <t>[nog in te vullen]3</t>
  </si>
  <si>
    <t>[nog in te vullen]4</t>
  </si>
  <si>
    <t>[nog in te vullen]5</t>
  </si>
  <si>
    <t>[nog in te vullen]6</t>
  </si>
  <si>
    <t>Invulling</t>
  </si>
  <si>
    <t>Incorrect use</t>
  </si>
  <si>
    <t>Correct use</t>
  </si>
  <si>
    <t>Alias(es)</t>
  </si>
  <si>
    <t>Representation</t>
  </si>
  <si>
    <t>Use case(s)</t>
  </si>
  <si>
    <t>Purpose</t>
  </si>
  <si>
    <t>Concept description</t>
  </si>
  <si>
    <t>Building block code</t>
  </si>
  <si>
    <t>Concept name</t>
  </si>
  <si>
    <t>Description</t>
  </si>
  <si>
    <t>Field</t>
  </si>
  <si>
    <t>Comments</t>
  </si>
  <si>
    <t>Mappable to base model</t>
  </si>
  <si>
    <t>Source</t>
  </si>
  <si>
    <t>Context for use</t>
  </si>
  <si>
    <t>Presence</t>
  </si>
  <si>
    <t>Variability</t>
  </si>
  <si>
    <t>Rationale</t>
  </si>
  <si>
    <t>Title</t>
  </si>
  <si>
    <t>Considerations</t>
  </si>
  <si>
    <t>Selected base model</t>
  </si>
  <si>
    <t>Possible base models</t>
  </si>
  <si>
    <t>Input</t>
  </si>
  <si>
    <t>Yes</t>
  </si>
  <si>
    <t>No</t>
  </si>
  <si>
    <t>Included or excluded information-requirements</t>
  </si>
  <si>
    <t>Included information-requirements</t>
  </si>
  <si>
    <t>Excluded information-requirements</t>
  </si>
  <si>
    <t>EU of NL</t>
  </si>
  <si>
    <t>EU or NL</t>
  </si>
  <si>
    <t>EU</t>
  </si>
  <si>
    <t>NL</t>
  </si>
  <si>
    <t>Titel (informatie-requirement)</t>
  </si>
  <si>
    <t>Title (informatie-requirement)</t>
  </si>
  <si>
    <t>Opmerkingen/ Comments</t>
  </si>
  <si>
    <t>Verwijzing (URL) / Reference (URL)</t>
  </si>
  <si>
    <t>Afkorting / abbreviation</t>
  </si>
  <si>
    <t>Naam / name</t>
  </si>
  <si>
    <t>Versie / version</t>
  </si>
  <si>
    <t>Het concept Verrichting beschrijft een therapeutische of diagnostische verrichting, die de patiënt heeft ondergaan of zal ondergaan.</t>
  </si>
  <si>
    <t>Een verrichting wordt uitgevoerd of gepland in het kader van een uitgezet beleid of voor het verkrijgen van aanvullende informatie in het diagnostisch proces. Het vastleggen van verrichtingen dient om inzicht te krijgen in de behandeling van de patiënt. Daarnaast worden verrichtingen vastgelegd ten behoeve van administratieve doeleinden zoals facturering en werklastmeting, wetenschappelijk onderzoek en/of onderwijs.</t>
  </si>
  <si>
    <t>Uitgevoerde en toekomstige therapeutische en diagnostische verrichtingen. Bijvoorbeeld in de informatiestandaarden Geboortezorg, Acute zorg, Huisartsenzorg, BgZ-MSZ en eOverdracht.</t>
  </si>
  <si>
    <t>Zie comment.</t>
  </si>
  <si>
    <t>Behandeling (dekt maar een deel van het concept verrichting)</t>
  </si>
  <si>
    <t>Het concept is bedoeld voor het vastleggen van therapeutische en diagnostische verrichtingen.</t>
  </si>
  <si>
    <t>Het concept is niet bedoeld voor het vastleggen van verpleegkundige verrichtingen, administratieve verrichtingen en dat wat niet een verrichting is. Hiervoor zijn nog geen generieke bouwblokken ontwikkeld.</t>
  </si>
  <si>
    <t>2.16.840.1.113883.2.4.3.11.60.153.4.28/2026-07-15T00:00:00</t>
  </si>
  <si>
    <t>Verrichting</t>
  </si>
  <si>
    <t>Procedure</t>
  </si>
  <si>
    <t>PRO</t>
  </si>
  <si>
    <t>Datum en tijd</t>
  </si>
  <si>
    <t>Er is behoefte om de verrichting te kunnen plaatsen in de tijd</t>
  </si>
  <si>
    <t>Een exacte datum en tijd, een datum, en een vage datum zijn allemaal toegestaan</t>
  </si>
  <si>
    <t>Alleen bedoeld voor uitgevoerde verrichtingen. Niet te gebruiken als startdatum of einddatum zijn ingevuld.</t>
  </si>
  <si>
    <t>1.1</t>
  </si>
  <si>
    <t>Datum en tijd van uitgevoerde verrichting</t>
  </si>
  <si>
    <t>Zie hierboven</t>
  </si>
  <si>
    <t>1.1.1</t>
  </si>
  <si>
    <t>Datum/tijd uitvoering</t>
  </si>
  <si>
    <t>Het tijdstip waarop de verrichting is uitgevoerd. Bv. "het verband is dinsdagmiddag om drie uur vervangen".</t>
  </si>
  <si>
    <t>1.1.2</t>
  </si>
  <si>
    <t>Periode uitvoering</t>
  </si>
  <si>
    <t>De periode waarin de verrichting is uitgevoerd, dus van begindatum/tijd tot einddatum/tijd.</t>
  </si>
  <si>
    <t>Een exacte datum en tijd, een datum, en een vage datum zijn allemaal toegestaan voor zowel het begin als het eind</t>
  </si>
  <si>
    <t>Alleen relevant uitgevoerde verrichtingen. Niet te gebruiken als er alleen een datum/tijd van uitvoering gewenst is.</t>
  </si>
  <si>
    <t>1.1.3</t>
  </si>
  <si>
    <t>Einddatum</t>
  </si>
  <si>
    <t>De einddatum (en eventueel eindtijd) van de verrichting wanneer het om anamnistische registraties gaat (bv. "patiënt wat tot twee jaar geleden onder behandeling").</t>
  </si>
  <si>
    <t>Dit zal doorgaans een datum zonder tijd of een vage daum zijn.</t>
  </si>
  <si>
    <t>Alleen aanwezig bij afgeronde verrichtingen. Niet te gebruiken als er alleen een datum/tijd van uitvoering gewenst is of als er een periode is.</t>
  </si>
  <si>
    <t>1.2</t>
  </si>
  <si>
    <t>Datum en tijd van gestarte verrichting die nog niet is afgerond</t>
  </si>
  <si>
    <t>Dit kan een exacte datum en tijd zijn, of voor langdurige verrichtingen een datum of een vage datum</t>
  </si>
  <si>
    <t>Doorgaans aanwezig bij gestarte verrichtingen</t>
  </si>
  <si>
    <t>Hier moeten we wel aan denken bij elke informatiebehoefte maar hebben we nu geen bron voor</t>
  </si>
  <si>
    <t>1.3</t>
  </si>
  <si>
    <t>Geplande startdatum/tijd</t>
  </si>
  <si>
    <t>De geplande startdatum (en eventueel starttijd) van de verrichting.</t>
  </si>
  <si>
    <t>Een exacte datum en tijd of alleen een datum</t>
  </si>
  <si>
    <t>Alleen relevant voor geplande verrichtingen</t>
  </si>
  <si>
    <t>1.4</t>
  </si>
  <si>
    <t>Gewenste datum/tijd</t>
  </si>
  <si>
    <t>De gewenste startdatum (en eventueel starttijd) van de verrichting.</t>
  </si>
  <si>
    <t>Alleen relevant voor gewenste/geadviseerde verrichten</t>
  </si>
  <si>
    <t>1.5</t>
  </si>
  <si>
    <t>Technisch verplicht</t>
  </si>
  <si>
    <t>Time</t>
  </si>
  <si>
    <t>Time of the action.</t>
  </si>
  <si>
    <t>DateTime</t>
  </si>
  <si>
    <t>Altijd aanwezig</t>
  </si>
  <si>
    <t>Relevant voor alle typen</t>
  </si>
  <si>
    <t>Interval</t>
  </si>
  <si>
    <t>Er is behoefte om een planning aan te geven waarbij het startpunt nog niet is bepaald</t>
  </si>
  <si>
    <t>Een exacte periode bestaande uit een aantal met een tijdseenheid (dag, maand, jaar, uur, minuut, seconde)</t>
  </si>
  <si>
    <t>Relevant als er een planning gemaakt moet worden waarbij het referentiepunt nog niet is bepaald</t>
  </si>
  <si>
    <t>zib2020</t>
  </si>
  <si>
    <t>https://www.zibs.nl/wiki/Verrichting-v5.2(2020NL)</t>
  </si>
  <si>
    <t>zib Verrichting</t>
  </si>
  <si>
    <t>v5.2(2020NL)</t>
  </si>
  <si>
    <t>https://www.xt-ehr.eu/fhir/models/en/StructureDefinition-EHDSProcedure.html</t>
  </si>
  <si>
    <t>XtEHR</t>
  </si>
  <si>
    <t>Xt-EHR model Procedure</t>
  </si>
  <si>
    <t>1.0.0</t>
  </si>
  <si>
    <t>Date and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</si>
</sst>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Aptos Narrow"/>
      <family val="2"/>
      <scheme val="minor"/>
    </font>
    <font>
      <b/>
      <sz val="11"/>
      <color theme="1"/>
      <name val="Aptos Narrow"/>
      <family val="2"/>
      <scheme val="minor"/>
    </font>
    <font>
      <i/>
      <sz val="11"/>
      <color theme="1"/>
      <name val="Aptos Narrow"/>
      <family val="2"/>
      <scheme val="minor"/>
    </font>
    <font>
      <b/>
      <sz val="11"/>
      <color theme="0"/>
      <name val="Aptos Narrow"/>
      <family val="2"/>
      <scheme val="minor"/>
    </font>
    <font>
      <sz val="8"/>
      <name val="Aptos Narrow"/>
      <family val="2"/>
      <scheme val="minor"/>
    </font>
    <font>
      <sz val="11"/>
      <color theme="1"/>
      <name val="Aptos Narrow"/>
    </font>
    <font>
      <i/>
      <sz val="11"/>
      <color theme="1"/>
      <name val="Aptos Narrow"/>
    </font>
    <font>
      <b/>
      <sz val="11"/>
      <color theme="1"/>
      <name val="Aptos Narrow"/>
    </font>
    <font>
      <b/>
      <sz val="11"/>
      <color theme="0"/>
      <name val="Aptos Narrow"/>
      <family val="2"/>
    </font>
    <font>
      <b/>
      <sz val="11"/>
      <color theme="1"/>
      <name val="Aptos Narrow"/>
      <family val="2"/>
    </font>
    <font>
      <sz val="11"/>
      <color theme="1"/>
      <name val="Aptos Narrow"/>
      <family val="2"/>
    </font>
    <font>
      <b/>
      <i/>
      <sz val="11"/>
      <color rgb="FF375473"/>
      <name val="Aptos Narrow"/>
      <family val="2"/>
    </font>
    <font>
      <i/>
      <sz val="11"/>
      <color rgb="FF6A116A"/>
      <name val="Aptos Narrow"/>
      <family val="2"/>
      <scheme val="minor"/>
    </font>
    <font>
      <i/>
      <sz val="11"/>
      <color rgb="FF375473"/>
      <name val="Aptos Narrow"/>
      <family val="2"/>
    </font>
    <font>
      <i/>
      <sz val="11"/>
      <color rgb="FF6A116A"/>
      <name val="Aptos Narrow"/>
      <family val="2"/>
    </font>
    <font>
      <sz val="11"/>
      <color rgb="FF6A116A"/>
      <name val="Aptos Narrow"/>
      <family val="2"/>
    </font>
    <font>
      <i/>
      <sz val="11"/>
      <color theme="1" tint="0.249977111117893"/>
      <name val="Aptos Narrow"/>
      <family val="2"/>
    </font>
    <font>
      <b/>
      <i/>
      <sz val="11"/>
      <color rgb="FFC724B1"/>
      <name val="Aptos Narrow"/>
      <family val="2"/>
    </font>
    <font>
      <i/>
      <sz val="11"/>
      <color rgb="FFC724B1"/>
      <name val="Aptos Narrow"/>
      <family val="2"/>
    </font>
    <font>
      <sz val="11"/>
      <color theme="1" tint="0.249977111117893"/>
      <name val="Aptos Narrow"/>
      <family val="2"/>
      <scheme val="minor"/>
    </font>
    <font>
      <i/>
      <sz val="11"/>
      <color theme="1" tint="0.249977111117893"/>
      <name val="Aptos Narrow"/>
      <family val="2"/>
      <scheme val="minor"/>
    </font>
  </fonts>
  <fills count="10">
    <fill>
      <patternFill patternType="none"/>
    </fill>
    <fill>
      <patternFill patternType="gray125"/>
    </fill>
    <fill>
      <patternFill patternType="solid">
        <fgColor rgb="FFE8E6E4"/>
        <bgColor rgb="FFFFFFFF"/>
      </patternFill>
    </fill>
    <fill>
      <patternFill patternType="solid">
        <fgColor rgb="FFC724B1"/>
        <bgColor rgb="FFFFFFFF"/>
      </patternFill>
    </fill>
    <fill>
      <patternFill patternType="solid">
        <fgColor rgb="FF375473"/>
        <bgColor indexed="64"/>
      </patternFill>
    </fill>
    <fill>
      <patternFill patternType="solid">
        <fgColor rgb="FFB6C8DC"/>
        <bgColor indexed="64"/>
      </patternFill>
    </fill>
    <fill>
      <patternFill patternType="solid">
        <fgColor rgb="FFEB81EB"/>
        <bgColor indexed="64"/>
      </patternFill>
    </fill>
    <fill>
      <patternFill patternType="solid">
        <fgColor rgb="FFC724B1"/>
        <bgColor indexed="64"/>
      </patternFill>
    </fill>
    <fill>
      <patternFill patternType="solid">
        <fgColor rgb="FFF4C2ED"/>
        <bgColor indexed="64"/>
      </patternFill>
    </fill>
    <fill>
      <patternFill patternType="solid">
        <fgColor theme="1" tint="0.14999847407452621"/>
        <bgColor indexed="64"/>
      </patternFill>
    </fill>
  </fills>
  <borders count="11">
    <border>
      <left/>
      <right/>
      <top/>
      <bottom/>
      <diagonal/>
    </border>
    <border>
      <left style="thin">
        <color rgb="FF83786F"/>
      </left>
      <right style="thin">
        <color rgb="FF83786F"/>
      </right>
      <top style="thin">
        <color rgb="FF83786F"/>
      </top>
      <bottom style="thin">
        <color rgb="FF83786F"/>
      </bottom>
      <diagonal/>
    </border>
    <border>
      <left/>
      <right style="thin">
        <color rgb="FF83786F"/>
      </right>
      <top style="thin">
        <color rgb="FF83786F"/>
      </top>
      <bottom style="thin">
        <color rgb="FF83786F"/>
      </bottom>
      <diagonal/>
    </border>
    <border>
      <left style="thin">
        <color rgb="FF83786F"/>
      </left>
      <right/>
      <top style="thin">
        <color rgb="FF83786F"/>
      </top>
      <bottom style="thin">
        <color rgb="FF83786F"/>
      </bottom>
      <diagonal/>
    </border>
    <border>
      <left style="thin">
        <color rgb="FF83786F"/>
      </left>
      <right/>
      <top style="thin">
        <color rgb="FF83786F"/>
      </top>
      <bottom/>
      <diagonal/>
    </border>
    <border>
      <left/>
      <right/>
      <top style="thin">
        <color rgb="FF83786F"/>
      </top>
      <bottom/>
      <diagonal/>
    </border>
    <border>
      <left/>
      <right style="thin">
        <color rgb="FF83786F"/>
      </right>
      <top style="thin">
        <color rgb="FF83786F"/>
      </top>
      <bottom/>
      <diagonal/>
    </border>
    <border>
      <left style="thin">
        <color rgb="FF83786F"/>
      </left>
      <right/>
      <top/>
      <bottom style="thin">
        <color rgb="FF83786F"/>
      </bottom>
      <diagonal/>
    </border>
    <border>
      <left/>
      <right style="thin">
        <color rgb="FF83786F"/>
      </right>
      <top/>
      <bottom style="thin">
        <color rgb="FF83786F"/>
      </bottom>
      <diagonal/>
    </border>
    <border>
      <left/>
      <right/>
      <top style="thin">
        <color rgb="FF83786F"/>
      </top>
      <bottom style="thin">
        <color rgb="FF83786F"/>
      </bottom>
      <diagonal/>
    </border>
    <border>
      <left style="thin">
        <color rgb="FF83786F"/>
      </left>
      <right style="thin">
        <color rgb="FF83786F"/>
      </right>
      <top style="thin">
        <color rgb="FF83786F"/>
      </top>
      <bottom/>
      <diagonal/>
    </border>
  </borders>
  <cellStyleXfs count="2">
    <xf numFmtId="0" fontId="0" fillId="0" borderId="0"/>
    <xf numFmtId="0" fontId="5" fillId="0" borderId="0"/>
  </cellStyleXfs>
  <cellXfs count="61">
    <xf numFmtId="0" fontId="0" fillId="0" borderId="0" xfId="0"/>
    <xf numFmtId="0" fontId="2" fillId="0" borderId="0" xfId="0" applyFont="1"/>
    <xf numFmtId="0" fontId="1" fillId="0" borderId="0" xfId="0" applyFont="1"/>
    <xf numFmtId="0" fontId="0" fillId="0" borderId="0" xfId="0" applyAlignment="1">
      <alignment wrapText="1"/>
    </xf>
    <xf numFmtId="0" fontId="0" fillId="0" borderId="2" xfId="0" applyBorder="1"/>
    <xf numFmtId="0" fontId="0" fillId="0" borderId="1" xfId="0" applyBorder="1"/>
    <xf numFmtId="0" fontId="0" fillId="0" borderId="3" xfId="0" applyBorder="1"/>
    <xf numFmtId="0" fontId="5" fillId="0" borderId="0" xfId="1"/>
    <xf numFmtId="0" fontId="6" fillId="0" borderId="0" xfId="1" applyFont="1"/>
    <xf numFmtId="0" fontId="14" fillId="6" borderId="0" xfId="1" applyFont="1" applyFill="1"/>
    <xf numFmtId="0" fontId="15" fillId="6" borderId="0" xfId="1" applyFont="1" applyFill="1"/>
    <xf numFmtId="0" fontId="3" fillId="7" borderId="0" xfId="0" applyFont="1" applyFill="1"/>
    <xf numFmtId="0" fontId="12" fillId="0" borderId="9" xfId="0" applyFont="1" applyBorder="1"/>
    <xf numFmtId="0" fontId="12" fillId="0" borderId="0" xfId="0" applyFont="1"/>
    <xf numFmtId="0" fontId="0" fillId="0" borderId="9" xfId="0" applyBorder="1"/>
    <xf numFmtId="0" fontId="3" fillId="4" borderId="0" xfId="0" applyFont="1" applyFill="1"/>
    <xf numFmtId="0" fontId="12" fillId="0" borderId="5" xfId="0" applyFont="1" applyBorder="1"/>
    <xf numFmtId="0" fontId="0" fillId="0" borderId="6" xfId="0" applyBorder="1"/>
    <xf numFmtId="0" fontId="0" fillId="0" borderId="10" xfId="0" applyBorder="1"/>
    <xf numFmtId="0" fontId="0" fillId="0" borderId="4" xfId="0" applyBorder="1"/>
    <xf numFmtId="0" fontId="0" fillId="0" borderId="5" xfId="0" applyBorder="1"/>
    <xf numFmtId="0" fontId="0" fillId="9" borderId="0" xfId="0" applyFill="1"/>
    <xf numFmtId="0" fontId="19" fillId="0" borderId="0" xfId="0" applyFont="1"/>
    <xf numFmtId="0" fontId="10" fillId="9" borderId="0" xfId="1" applyFont="1" applyFill="1"/>
    <xf numFmtId="0" fontId="5" fillId="0" borderId="0" xfId="1" applyAlignment="1" applyProtection="1">
      <alignment wrapText="1"/>
      <protection locked="0"/>
    </xf>
    <xf numFmtId="0" fontId="5" fillId="0" borderId="0" xfId="1" applyProtection="1">
      <protection locked="0"/>
    </xf>
    <xf numFmtId="0" fontId="7" fillId="0" borderId="0" xfId="1" applyFont="1" applyProtection="1">
      <protection locked="0"/>
    </xf>
    <xf numFmtId="0" fontId="8" fillId="4" borderId="0" xfId="1" applyFont="1" applyFill="1" applyProtection="1">
      <protection locked="0"/>
    </xf>
    <xf numFmtId="0" fontId="11" fillId="5" borderId="0" xfId="1" applyFont="1" applyFill="1" applyProtection="1">
      <protection locked="0"/>
    </xf>
    <xf numFmtId="0" fontId="13" fillId="0" borderId="0" xfId="1" applyFont="1"/>
    <xf numFmtId="0" fontId="10" fillId="0" borderId="0" xfId="1" applyFont="1" applyProtection="1">
      <protection locked="0"/>
    </xf>
    <xf numFmtId="0" fontId="16" fillId="0" borderId="0" xfId="1" applyFont="1" applyProtection="1">
      <protection locked="0"/>
    </xf>
    <xf numFmtId="0" fontId="5" fillId="0" borderId="1" xfId="1" applyBorder="1" applyProtection="1">
      <protection locked="0"/>
    </xf>
    <xf numFmtId="0" fontId="16" fillId="0" borderId="3" xfId="1" applyFont="1" applyBorder="1" applyProtection="1">
      <protection locked="0"/>
    </xf>
    <xf numFmtId="0" fontId="5" fillId="0" borderId="6" xfId="1" applyBorder="1" applyProtection="1">
      <protection locked="0"/>
    </xf>
    <xf numFmtId="0" fontId="5" fillId="0" borderId="10" xfId="1" applyBorder="1" applyProtection="1">
      <protection locked="0"/>
    </xf>
    <xf numFmtId="0" fontId="16" fillId="0" borderId="5" xfId="1" applyFont="1" applyBorder="1" applyProtection="1">
      <protection locked="0"/>
    </xf>
    <xf numFmtId="0" fontId="14" fillId="0" borderId="0" xfId="1" applyFont="1"/>
    <xf numFmtId="0" fontId="14" fillId="0" borderId="5" xfId="1" applyFont="1" applyBorder="1"/>
    <xf numFmtId="0" fontId="14" fillId="0" borderId="3" xfId="1" applyFont="1" applyBorder="1"/>
    <xf numFmtId="0" fontId="14" fillId="0" borderId="4" xfId="1" applyFont="1" applyBorder="1"/>
    <xf numFmtId="0" fontId="0" fillId="0" borderId="0" xfId="0" applyProtection="1">
      <protection locked="0"/>
    </xf>
    <xf numFmtId="0" fontId="12" fillId="6" borderId="0" xfId="0" applyFont="1" applyFill="1" applyProtection="1">
      <protection locked="0"/>
    </xf>
    <xf numFmtId="0" fontId="0" fillId="9" borderId="0" xfId="0" applyFill="1" applyProtection="1">
      <protection locked="0"/>
    </xf>
    <xf numFmtId="0" fontId="19" fillId="0" borderId="0" xfId="0" applyFont="1" applyProtection="1">
      <protection locked="0"/>
    </xf>
    <xf numFmtId="0" fontId="17" fillId="8" borderId="0" xfId="1" applyFont="1" applyFill="1" applyProtection="1">
      <protection locked="0"/>
    </xf>
    <xf numFmtId="0" fontId="18" fillId="0" borderId="0" xfId="1" applyFont="1"/>
    <xf numFmtId="0" fontId="3" fillId="4" borderId="2" xfId="0" applyFont="1" applyFill="1" applyBorder="1"/>
    <xf numFmtId="0" fontId="3" fillId="4" borderId="8" xfId="0" applyFont="1" applyFill="1" applyBorder="1"/>
    <xf numFmtId="0" fontId="3" fillId="4" borderId="6" xfId="0" applyFont="1" applyFill="1" applyBorder="1"/>
    <xf numFmtId="0" fontId="3" fillId="7" borderId="8" xfId="0" applyFont="1" applyFill="1" applyBorder="1"/>
    <xf numFmtId="0" fontId="3" fillId="7" borderId="6" xfId="0" applyFont="1" applyFill="1" applyBorder="1"/>
    <xf numFmtId="0" fontId="0" fillId="2" borderId="4" xfId="0" applyFill="1" applyBorder="1"/>
    <xf numFmtId="0" fontId="0" fillId="3" borderId="7" xfId="0" applyFill="1" applyBorder="1"/>
    <xf numFmtId="0" fontId="9" fillId="0" borderId="0" xfId="1" applyFont="1" applyProtection="1">
      <protection locked="0"/>
    </xf>
    <xf numFmtId="0" fontId="8" fillId="7" borderId="8" xfId="1" applyFont="1" applyFill="1" applyBorder="1" applyProtection="1">
      <protection locked="0"/>
    </xf>
    <xf numFmtId="0" fontId="10" fillId="2" borderId="7" xfId="1" applyFont="1" applyFill="1" applyBorder="1" applyProtection="1">
      <protection locked="0"/>
    </xf>
    <xf numFmtId="0" fontId="8" fillId="7" borderId="6" xfId="1" applyFont="1" applyFill="1" applyBorder="1" applyProtection="1">
      <protection locked="0"/>
    </xf>
    <xf numFmtId="0" fontId="10" fillId="2" borderId="4" xfId="1" applyFont="1" applyFill="1" applyBorder="1" applyProtection="1">
      <protection locked="0"/>
    </xf>
    <xf numFmtId="0" fontId="20" fillId="0" borderId="3" xfId="0" applyFont="1" applyBorder="1"/>
    <xf numFmtId="0" fontId="20" fillId="0" borderId="4" xfId="0" applyFont="1" applyBorder="1"/>
  </cellXfs>
  <cellStyles count="2">
    <cellStyle name="Normal" xfId="0" builtinId="0"/>
    <cellStyle name="Standaard 2" xfId="1" xr:uid="{04973A16-1E2E-4B94-930F-C94A2ADFC7EF}"/>
  </cellStyles>
  <dxfs count="84">
    <dxf>
      <font>
        <b val="0"/>
        <i val="0"/>
        <strike val="0"/>
        <condense val="0"/>
        <extend val="0"/>
        <outline val="0"/>
        <shadow val="0"/>
        <u val="none"/>
        <vertAlign val="baseline"/>
        <sz val="11"/>
        <color theme="1"/>
        <name val="Aptos Narrow"/>
        <family val="2"/>
        <scheme val="none"/>
      </font>
      <numFmt numFmtId="0" formatCode="General"/>
      <fill>
        <patternFill patternType="solid">
          <fgColor rgb="FFFFFFFF"/>
          <bgColor rgb="FFE8E6E4"/>
        </patternFill>
      </fill>
      <alignment horizontal="general" vertical="bottom" textRotation="0" wrapText="0" indent="0" justifyLastLine="0" shrinkToFit="0" readingOrder="0"/>
      <border diagonalUp="0" diagonalDown="0">
        <left style="thin">
          <color rgb="FF83786F"/>
        </left>
        <right/>
        <top style="thin">
          <color rgb="FF83786F"/>
        </top>
        <bottom/>
        <vertical/>
        <horizontal/>
      </border>
      <protection locked="0" hidden="0"/>
    </dxf>
    <dxf>
      <font>
        <b/>
        <i val="0"/>
        <strike val="0"/>
        <condense val="0"/>
        <extend val="0"/>
        <outline val="0"/>
        <shadow val="0"/>
        <u val="none"/>
        <vertAlign val="baseline"/>
        <sz val="11"/>
        <color theme="0"/>
        <name val="Aptos Narrow"/>
        <family val="2"/>
        <scheme val="none"/>
      </font>
      <numFmt numFmtId="0" formatCode="General"/>
      <fill>
        <patternFill patternType="solid">
          <fgColor indexed="64"/>
          <bgColor rgb="FFC724B1"/>
        </patternFill>
      </fill>
      <alignment horizontal="general" vertical="bottom" textRotation="0" wrapText="0" indent="0" justifyLastLine="0" shrinkToFit="0" readingOrder="0"/>
      <border diagonalUp="0" diagonalDown="0">
        <left/>
        <right style="thin">
          <color rgb="FF83786F"/>
        </right>
        <top style="thin">
          <color rgb="FF83786F"/>
        </top>
        <bottom/>
        <vertical/>
        <horizontal/>
      </border>
      <protection locked="0" hidden="0"/>
    </dxf>
    <dxf>
      <border outline="0">
        <top style="thin">
          <color rgb="FF83786F"/>
        </top>
      </border>
    </dxf>
    <dxf>
      <border outline="0">
        <left style="thin">
          <color rgb="FF83786F"/>
        </left>
        <right style="thin">
          <color rgb="FF83786F"/>
        </right>
        <top style="thin">
          <color rgb="FF83786F"/>
        </top>
        <bottom style="thin">
          <color rgb="FF83786F"/>
        </bottom>
      </border>
    </dxf>
    <dxf>
      <protection locked="0" hidden="0"/>
    </dxf>
    <dxf>
      <border outline="0">
        <bottom style="thin">
          <color rgb="FF83786F"/>
        </bottom>
      </border>
    </dxf>
    <dxf>
      <protection locked="0" hidden="0"/>
    </dxf>
    <dxf>
      <numFmt numFmtId="0" formatCode="General"/>
      <protection locked="1" hidden="0"/>
    </dxf>
    <dxf>
      <font>
        <b/>
        <strike val="0"/>
        <outline val="0"/>
        <shadow val="0"/>
        <u val="none"/>
        <vertAlign val="baseline"/>
        <sz val="11"/>
        <color theme="0"/>
        <name val="Aptos Narrow"/>
        <scheme val="none"/>
      </font>
      <fill>
        <patternFill>
          <fgColor indexed="64"/>
          <bgColor rgb="FFC724B1"/>
        </patternFill>
      </fill>
      <protection locked="0" hidden="0"/>
    </dxf>
    <dxf>
      <protection locked="0" hidden="0"/>
    </dxf>
    <dxf>
      <protection locked="0" hidden="0"/>
    </dxf>
    <dxf>
      <fill>
        <patternFill patternType="solid">
          <fgColor rgb="FFFFFFFF"/>
          <bgColor rgb="FFE8E6E4"/>
        </patternFill>
      </fill>
      <border diagonalUp="0" diagonalDown="0">
        <left style="thin">
          <color rgb="FF83786F"/>
        </left>
        <right/>
        <top style="thin">
          <color rgb="FF83786F"/>
        </top>
        <bottom/>
        <vertical/>
        <horizontal/>
      </border>
    </dxf>
    <dxf>
      <font>
        <b/>
        <i val="0"/>
        <strike val="0"/>
        <condense val="0"/>
        <extend val="0"/>
        <outline val="0"/>
        <shadow val="0"/>
        <u val="none"/>
        <vertAlign val="baseline"/>
        <sz val="11"/>
        <color theme="0"/>
        <name val="Aptos Narrow"/>
        <family val="2"/>
        <scheme val="minor"/>
      </font>
      <fill>
        <patternFill patternType="solid">
          <fgColor indexed="64"/>
          <bgColor rgb="FFC724B1"/>
        </patternFill>
      </fill>
      <border diagonalUp="0" diagonalDown="0">
        <left/>
        <right style="thin">
          <color rgb="FF83786F"/>
        </right>
        <top style="thin">
          <color rgb="FF83786F"/>
        </top>
        <bottom/>
        <vertical/>
        <horizontal/>
      </border>
    </dxf>
    <dxf>
      <border outline="0">
        <top style="thin">
          <color rgb="FF83786F"/>
        </top>
      </border>
    </dxf>
    <dxf>
      <border outline="0">
        <left style="thin">
          <color rgb="FF83786F"/>
        </left>
        <right style="thin">
          <color rgb="FF83786F"/>
        </right>
        <top style="thin">
          <color rgb="FF83786F"/>
        </top>
        <bottom style="thin">
          <color rgb="FF83786F"/>
        </bottom>
      </border>
    </dxf>
    <dxf>
      <border outline="0">
        <bottom style="thin">
          <color rgb="FF83786F"/>
        </bottom>
      </border>
    </dxf>
    <dxf>
      <font>
        <b/>
        <strike val="0"/>
        <outline val="0"/>
        <shadow val="0"/>
        <u val="none"/>
        <vertAlign val="baseline"/>
        <sz val="11"/>
        <color theme="0"/>
        <name val="Aptos Narrow"/>
        <family val="2"/>
        <scheme val="minor"/>
      </font>
      <fill>
        <patternFill patternType="solid">
          <fgColor indexed="64"/>
          <bgColor rgb="FFC724B1"/>
        </patternFill>
      </fill>
    </dxf>
    <dxf>
      <font>
        <strike val="0"/>
        <outline val="0"/>
        <shadow val="0"/>
        <u val="none"/>
        <vertAlign val="baseline"/>
        <sz val="11"/>
        <color theme="1" tint="0.249977111117893"/>
        <name val="Aptos Narrow"/>
        <family val="2"/>
        <scheme val="minor"/>
      </font>
      <protection locked="0" hidden="0"/>
    </dxf>
    <dxf>
      <font>
        <strike val="0"/>
        <outline val="0"/>
        <shadow val="0"/>
        <u val="none"/>
        <vertAlign val="baseline"/>
        <sz val="11"/>
        <color theme="1" tint="0.249977111117893"/>
        <name val="Aptos Narrow"/>
        <family val="2"/>
        <scheme val="minor"/>
      </font>
      <protection locked="0" hidden="0"/>
    </dxf>
    <dxf>
      <font>
        <strike val="0"/>
        <outline val="0"/>
        <shadow val="0"/>
        <u val="none"/>
        <vertAlign val="baseline"/>
        <sz val="11"/>
        <color theme="1" tint="0.249977111117893"/>
        <name val="Aptos Narrow"/>
        <family val="2"/>
        <scheme val="minor"/>
      </font>
      <protection locked="0" hidden="0"/>
    </dxf>
    <dxf>
      <font>
        <strike val="0"/>
        <outline val="0"/>
        <shadow val="0"/>
        <u val="none"/>
        <vertAlign val="baseline"/>
        <sz val="11"/>
        <color theme="1" tint="0.249977111117893"/>
        <name val="Aptos Narrow"/>
        <family val="2"/>
        <scheme val="minor"/>
      </font>
      <protection locked="0" hidden="0"/>
    </dxf>
    <dxf>
      <font>
        <strike val="0"/>
        <outline val="0"/>
        <shadow val="0"/>
        <u val="none"/>
        <vertAlign val="baseline"/>
        <sz val="11"/>
        <color theme="1" tint="0.249977111117893"/>
        <name val="Aptos Narrow"/>
        <family val="2"/>
        <scheme val="minor"/>
      </font>
      <protection locked="0" hidden="0"/>
    </dxf>
    <dxf>
      <font>
        <strike val="0"/>
        <outline val="0"/>
        <shadow val="0"/>
        <u val="none"/>
        <vertAlign val="baseline"/>
        <sz val="11"/>
        <color theme="1" tint="0.249977111117893"/>
        <name val="Aptos Narrow"/>
        <family val="2"/>
        <scheme val="minor"/>
      </font>
      <protection locked="0" hidden="0"/>
    </dxf>
    <dxf>
      <font>
        <strike val="0"/>
        <outline val="0"/>
        <shadow val="0"/>
        <u val="none"/>
        <vertAlign val="baseline"/>
        <sz val="11"/>
        <color theme="1" tint="0.249977111117893"/>
        <name val="Aptos Narrow"/>
        <family val="2"/>
        <scheme val="minor"/>
      </font>
      <protection locked="0" hidden="0"/>
    </dxf>
    <dxf>
      <font>
        <strike val="0"/>
        <outline val="0"/>
        <shadow val="0"/>
        <u val="none"/>
        <vertAlign val="baseline"/>
        <sz val="11"/>
        <color theme="1" tint="0.249977111117893"/>
        <name val="Aptos Narrow"/>
        <family val="2"/>
        <scheme val="minor"/>
      </font>
      <protection locked="0" hidden="0"/>
    </dxf>
    <dxf>
      <font>
        <i/>
        <strike val="0"/>
        <outline val="0"/>
        <shadow val="0"/>
        <u val="none"/>
        <vertAlign val="baseline"/>
        <sz val="11"/>
        <color rgb="FF6A116A"/>
        <name val="Aptos Narrow"/>
        <family val="2"/>
        <scheme val="minor"/>
      </font>
      <numFmt numFmtId="0" formatCode="General"/>
      <protection locked="1" hidden="0"/>
    </dxf>
    <dxf>
      <font>
        <i/>
        <strike val="0"/>
        <outline val="0"/>
        <shadow val="0"/>
        <u val="none"/>
        <vertAlign val="baseline"/>
        <sz val="11"/>
        <color rgb="FF6A116A"/>
        <name val="Aptos Narrow"/>
        <family val="2"/>
        <scheme val="minor"/>
      </font>
      <numFmt numFmtId="0" formatCode="General"/>
      <protection locked="1" hidden="0"/>
    </dxf>
    <dxf>
      <protection locked="0" hidden="0"/>
    </dxf>
    <dxf>
      <protection locked="0" hidden="0"/>
    </dxf>
    <dxf>
      <font>
        <strike val="0"/>
        <outline val="0"/>
        <shadow val="0"/>
        <u val="none"/>
        <vertAlign val="baseline"/>
        <sz val="11"/>
        <color theme="1" tint="0.249977111117893"/>
        <name val="Aptos Narrow"/>
        <family val="2"/>
        <scheme val="minor"/>
      </font>
    </dxf>
    <dxf>
      <font>
        <i/>
        <strike val="0"/>
        <outline val="0"/>
        <shadow val="0"/>
        <u val="none"/>
        <vertAlign val="baseline"/>
        <sz val="11"/>
        <color theme="1" tint="0.249977111117893"/>
        <name val="Aptos Narrow"/>
        <scheme val="none"/>
      </font>
      <fill>
        <patternFill>
          <bgColor auto="1"/>
        </patternFill>
      </fill>
      <border>
        <left/>
        <right/>
        <top style="thin">
          <color rgb="FF83786F"/>
        </top>
        <bottom style="thin">
          <color rgb="FF83786F"/>
        </bottom>
      </border>
      <protection locked="0" hidden="0"/>
    </dxf>
    <dxf>
      <font>
        <i/>
        <strike val="0"/>
        <outline val="0"/>
        <shadow val="0"/>
        <u val="none"/>
        <vertAlign val="baseline"/>
        <sz val="11"/>
        <color rgb="FF6A116A"/>
        <name val="Aptos Narrow"/>
        <family val="2"/>
        <scheme val="none"/>
      </font>
      <numFmt numFmtId="0" formatCode="General"/>
      <fill>
        <patternFill>
          <bgColor auto="1"/>
        </patternFill>
      </fill>
      <border>
        <left/>
        <right/>
        <top style="thin">
          <color rgb="FF83786F"/>
        </top>
        <bottom style="thin">
          <color rgb="FF83786F"/>
        </bottom>
      </border>
      <protection locked="1" hidden="0"/>
    </dxf>
    <dxf>
      <font>
        <i/>
        <strike val="0"/>
        <outline val="0"/>
        <shadow val="0"/>
        <u val="none"/>
        <vertAlign val="baseline"/>
        <sz val="11"/>
        <color rgb="FF6A116A"/>
        <name val="Aptos Narrow"/>
        <scheme val="none"/>
      </font>
      <numFmt numFmtId="0" formatCode="General"/>
      <fill>
        <patternFill>
          <bgColor auto="1"/>
        </patternFill>
      </fill>
      <border>
        <left style="thin">
          <color rgb="FF83786F"/>
        </left>
        <right/>
        <top style="thin">
          <color rgb="FF83786F"/>
        </top>
        <bottom style="thin">
          <color rgb="FF83786F"/>
        </bottom>
      </border>
      <protection locked="1" hidden="0"/>
    </dxf>
    <dxf>
      <numFmt numFmtId="0" formatCode="General"/>
      <fill>
        <patternFill>
          <bgColor auto="1"/>
        </patternFill>
      </fill>
      <border>
        <left style="thin">
          <color rgb="FF83786F"/>
        </left>
        <right/>
        <top style="thin">
          <color rgb="FF83786F"/>
        </top>
        <bottom style="thin">
          <color rgb="FF83786F"/>
        </bottom>
      </border>
      <protection locked="1" hidden="0"/>
    </dxf>
    <dxf>
      <fill>
        <patternFill>
          <bgColor auto="1"/>
        </patternFill>
      </fill>
      <border>
        <left style="thin">
          <color rgb="FF83786F"/>
        </left>
        <right style="thin">
          <color rgb="FF83786F"/>
        </right>
        <top style="thin">
          <color rgb="FF83786F"/>
        </top>
        <bottom style="thin">
          <color rgb="FF83786F"/>
        </bottom>
      </border>
      <protection locked="0" hidden="0"/>
    </dxf>
    <dxf>
      <fill>
        <patternFill>
          <bgColor auto="1"/>
        </patternFill>
      </fill>
      <border>
        <left style="thin">
          <color rgb="FF83786F"/>
        </left>
        <right style="thin">
          <color rgb="FF83786F"/>
        </right>
        <top style="thin">
          <color rgb="FF83786F"/>
        </top>
        <bottom style="thin">
          <color rgb="FF83786F"/>
        </bottom>
      </border>
      <protection locked="0" hidden="0"/>
    </dxf>
    <dxf>
      <fill>
        <patternFill>
          <bgColor auto="1"/>
        </patternFill>
      </fill>
      <border>
        <left style="thin">
          <color rgb="FF83786F"/>
        </left>
        <right style="thin">
          <color rgb="FF83786F"/>
        </right>
        <top style="thin">
          <color rgb="FF83786F"/>
        </top>
        <bottom style="thin">
          <color rgb="FF83786F"/>
        </bottom>
      </border>
      <protection locked="0" hidden="0"/>
    </dxf>
    <dxf>
      <fill>
        <patternFill>
          <bgColor auto="1"/>
        </patternFill>
      </fill>
      <border>
        <left style="thin">
          <color rgb="FF83786F"/>
        </left>
        <right style="thin">
          <color rgb="FF83786F"/>
        </right>
        <top style="thin">
          <color rgb="FF83786F"/>
        </top>
        <bottom style="thin">
          <color rgb="FF83786F"/>
        </bottom>
      </border>
      <protection locked="0" hidden="0"/>
    </dxf>
    <dxf>
      <fill>
        <patternFill>
          <bgColor auto="1"/>
        </patternFill>
      </fill>
      <border>
        <left style="thin">
          <color rgb="FF83786F"/>
        </left>
        <right style="thin">
          <color rgb="FF83786F"/>
        </right>
        <top style="thin">
          <color rgb="FF83786F"/>
        </top>
        <bottom style="thin">
          <color rgb="FF83786F"/>
        </bottom>
      </border>
      <protection locked="0" hidden="0"/>
    </dxf>
    <dxf>
      <fill>
        <patternFill>
          <bgColor auto="1"/>
        </patternFill>
      </fill>
      <border>
        <left/>
        <right style="thin">
          <color rgb="FF83786F"/>
        </right>
        <top style="thin">
          <color rgb="FF83786F"/>
        </top>
        <bottom style="thin">
          <color rgb="FF83786F"/>
        </bottom>
      </border>
      <protection locked="0" hidden="0"/>
    </dxf>
    <dxf>
      <font>
        <i/>
        <strike val="0"/>
        <outline val="0"/>
        <shadow val="0"/>
        <u val="none"/>
        <vertAlign val="baseline"/>
        <sz val="11"/>
        <color rgb="FF6A116A"/>
        <name val="Aptos Narrow"/>
        <family val="2"/>
        <scheme val="none"/>
      </font>
      <numFmt numFmtId="0" formatCode="General"/>
      <fill>
        <patternFill>
          <bgColor auto="1"/>
        </patternFill>
      </fill>
      <protection locked="1" hidden="0"/>
    </dxf>
    <dxf>
      <font>
        <i/>
        <strike val="0"/>
        <outline val="0"/>
        <shadow val="0"/>
        <u val="none"/>
        <vertAlign val="baseline"/>
        <sz val="11"/>
        <color rgb="FF6A116A"/>
        <name val="Aptos Narrow"/>
        <family val="2"/>
        <scheme val="none"/>
      </font>
      <numFmt numFmtId="0" formatCode="General"/>
      <fill>
        <patternFill>
          <bgColor auto="1"/>
        </patternFill>
      </fill>
      <border>
        <left/>
        <right/>
        <top style="thin">
          <color rgb="FF83786F"/>
        </top>
        <bottom style="thin">
          <color rgb="FF83786F"/>
        </bottom>
      </border>
      <protection locked="1" hidden="0"/>
    </dxf>
    <dxf>
      <fill>
        <patternFill>
          <bgColor auto="1"/>
        </patternFill>
      </fill>
      <protection locked="0" hidden="0"/>
    </dxf>
    <dxf>
      <border>
        <bottom style="thin">
          <color rgb="FF83786F"/>
        </bottom>
      </border>
    </dxf>
    <dxf>
      <font>
        <b val="0"/>
        <i/>
        <strike val="0"/>
        <condense val="0"/>
        <extend val="0"/>
        <outline val="0"/>
        <shadow val="0"/>
        <u val="none"/>
        <vertAlign val="baseline"/>
        <sz val="11"/>
        <color rgb="FF375473"/>
        <name val="Aptos Narrow"/>
        <family val="2"/>
        <scheme val="none"/>
      </font>
      <numFmt numFmtId="0" formatCode="General"/>
      <protection locked="1" hidden="0"/>
    </dxf>
    <dxf>
      <font>
        <b/>
        <i/>
        <strike val="0"/>
        <condense val="0"/>
        <extend val="0"/>
        <outline val="0"/>
        <shadow val="0"/>
        <u val="none"/>
        <vertAlign val="baseline"/>
        <sz val="11"/>
        <color rgb="FF375473"/>
        <name val="Aptos Narrow"/>
        <family val="2"/>
        <scheme val="none"/>
      </font>
      <fill>
        <patternFill patternType="solid">
          <fgColor indexed="64"/>
          <bgColor rgb="FFB6C8DC"/>
        </patternFill>
      </fill>
      <protection locked="0" hidden="0"/>
    </dxf>
    <dxf>
      <protection locked="0" hidden="0"/>
    </dxf>
    <dxf>
      <protection locked="0" hidden="0"/>
    </dxf>
    <dxf>
      <font>
        <i/>
        <u val="none"/>
        <sz val="11"/>
        <color theme="1"/>
        <name val="Aptos Narrow"/>
        <family val="2"/>
        <scheme val="minor"/>
      </font>
      <numFmt numFmtId="0" formatCode="General"/>
      <protection locked="0" hidden="0"/>
    </dxf>
    <dxf>
      <font>
        <b/>
        <strike val="0"/>
        <outline val="0"/>
        <shadow val="0"/>
        <u val="none"/>
        <vertAlign val="baseline"/>
        <sz val="11"/>
        <color theme="0"/>
        <name val="Aptos Narrow"/>
        <scheme val="none"/>
      </font>
      <fill>
        <patternFill patternType="solid">
          <fgColor indexed="64"/>
          <bgColor rgb="FF375473"/>
        </patternFill>
      </fill>
      <protection locked="0" hidden="0"/>
    </dxf>
    <dxf>
      <protection locked="0" hidden="0"/>
    </dxf>
    <dxf>
      <protection locked="0" hidden="0"/>
    </dxf>
    <dxf>
      <font>
        <b/>
        <i val="0"/>
        <strike val="0"/>
        <condense val="0"/>
        <extend val="0"/>
        <outline val="0"/>
        <shadow val="0"/>
        <u val="none"/>
        <vertAlign val="baseline"/>
        <sz val="11"/>
        <color theme="0"/>
        <name val="Aptos Narrow"/>
        <family val="2"/>
        <scheme val="minor"/>
      </font>
      <fill>
        <patternFill patternType="solid">
          <fgColor indexed="64"/>
          <bgColor rgb="FF375473"/>
        </patternFill>
      </fill>
      <border diagonalUp="0" diagonalDown="0">
        <left/>
        <right style="thin">
          <color rgb="FF83786F"/>
        </right>
        <top style="thin">
          <color rgb="FF83786F"/>
        </top>
        <bottom style="thin">
          <color rgb="FF83786F"/>
        </bottom>
        <vertical/>
        <horizontal/>
      </border>
    </dxf>
    <dxf>
      <border outline="0">
        <top style="thin">
          <color rgb="FF83786F"/>
        </top>
      </border>
    </dxf>
    <dxf>
      <border outline="0">
        <left style="thin">
          <color rgb="FF83786F"/>
        </left>
        <right style="thin">
          <color rgb="FF83786F"/>
        </right>
        <top style="thin">
          <color rgb="FF83786F"/>
        </top>
        <bottom style="thin">
          <color rgb="FF83786F"/>
        </bottom>
      </border>
    </dxf>
    <dxf>
      <border outline="0">
        <bottom style="thin">
          <color rgb="FF83786F"/>
        </bottom>
      </border>
    </dxf>
    <dxf>
      <font>
        <b val="0"/>
        <i/>
        <strike val="0"/>
        <condense val="0"/>
        <extend val="0"/>
        <outline val="0"/>
        <shadow val="0"/>
        <u val="none"/>
        <vertAlign val="baseline"/>
        <sz val="11"/>
        <color theme="1"/>
        <name val="Aptos Narrow"/>
        <family val="2"/>
        <scheme val="minor"/>
      </font>
    </dxf>
    <dxf>
      <font>
        <b/>
      </font>
    </dxf>
    <dxf>
      <font>
        <b/>
        <i val="0"/>
        <strike val="0"/>
        <condense val="0"/>
        <extend val="0"/>
        <outline val="0"/>
        <shadow val="0"/>
        <u val="none"/>
        <vertAlign val="baseline"/>
        <sz val="11"/>
        <color theme="1"/>
        <name val="Aptos Narrow"/>
        <family val="2"/>
        <scheme val="minor"/>
      </font>
    </dxf>
    <dxf>
      <font>
        <i/>
        <strike val="0"/>
        <outline val="0"/>
        <shadow val="0"/>
        <u val="none"/>
        <vertAlign val="baseline"/>
        <sz val="11"/>
        <color theme="1" tint="0.249977111117893"/>
        <name val="Aptos Narrow"/>
        <family val="2"/>
        <scheme val="minor"/>
      </font>
      <fill>
        <patternFill patternType="none">
          <fgColor indexed="64"/>
          <bgColor auto="1"/>
        </patternFill>
      </fill>
      <border diagonalUp="0" diagonalDown="0" outline="0">
        <left style="thin">
          <color rgb="FF83786F"/>
        </left>
        <right/>
        <top style="thin">
          <color rgb="FF83786F"/>
        </top>
        <bottom style="thin">
          <color rgb="FF83786F"/>
        </bottom>
      </border>
    </dxf>
    <dxf>
      <fill>
        <patternFill patternType="none">
          <fgColor indexed="64"/>
          <bgColor auto="1"/>
        </patternFill>
      </fill>
      <border diagonalUp="0" diagonalDown="0" outline="0">
        <left style="thin">
          <color rgb="FF83786F"/>
        </left>
        <right/>
        <top style="thin">
          <color rgb="FF83786F"/>
        </top>
        <bottom style="thin">
          <color rgb="FF83786F"/>
        </bottom>
      </border>
    </dxf>
    <dxf>
      <fill>
        <patternFill patternType="none">
          <fgColor indexed="64"/>
          <bgColor auto="1"/>
        </patternFill>
      </fill>
      <border diagonalUp="0" diagonalDown="0" outline="0">
        <left/>
        <right/>
        <top style="thin">
          <color rgb="FF83786F"/>
        </top>
        <bottom style="thin">
          <color rgb="FF83786F"/>
        </bottom>
      </border>
    </dxf>
    <dxf>
      <fill>
        <patternFill patternType="none">
          <fgColor indexed="64"/>
          <bgColor auto="1"/>
        </patternFill>
      </fill>
      <border diagonalUp="0" diagonalDown="0" outline="0">
        <left style="thin">
          <color rgb="FF83786F"/>
        </left>
        <right style="thin">
          <color rgb="FF83786F"/>
        </right>
        <top style="thin">
          <color rgb="FF83786F"/>
        </top>
        <bottom style="thin">
          <color rgb="FF83786F"/>
        </bottom>
      </border>
    </dxf>
    <dxf>
      <fill>
        <patternFill patternType="none">
          <fgColor indexed="64"/>
          <bgColor auto="1"/>
        </patternFill>
      </fill>
      <border diagonalUp="0" diagonalDown="0" outline="0">
        <left style="thin">
          <color rgb="FF83786F"/>
        </left>
        <right/>
        <top style="thin">
          <color rgb="FF83786F"/>
        </top>
        <bottom style="thin">
          <color rgb="FF83786F"/>
        </bottom>
      </border>
    </dxf>
    <dxf>
      <fill>
        <patternFill patternType="none">
          <fgColor indexed="64"/>
          <bgColor auto="1"/>
        </patternFill>
      </fill>
      <border diagonalUp="0" diagonalDown="0" outline="0">
        <left style="thin">
          <color rgb="FF83786F"/>
        </left>
        <right style="thin">
          <color rgb="FF83786F"/>
        </right>
        <top style="thin">
          <color rgb="FF83786F"/>
        </top>
        <bottom style="thin">
          <color rgb="FF83786F"/>
        </bottom>
      </border>
    </dxf>
    <dxf>
      <fill>
        <patternFill patternType="none">
          <fgColor indexed="64"/>
          <bgColor auto="1"/>
        </patternFill>
      </fill>
      <border diagonalUp="0" diagonalDown="0" outline="0">
        <left style="thin">
          <color rgb="FF83786F"/>
        </left>
        <right style="thin">
          <color rgb="FF83786F"/>
        </right>
        <top style="thin">
          <color rgb="FF83786F"/>
        </top>
        <bottom style="thin">
          <color rgb="FF83786F"/>
        </bottom>
      </border>
    </dxf>
    <dxf>
      <fill>
        <patternFill patternType="none">
          <fgColor indexed="64"/>
          <bgColor auto="1"/>
        </patternFill>
      </fill>
      <border diagonalUp="0" diagonalDown="0" outline="0">
        <left style="thin">
          <color rgb="FF83786F"/>
        </left>
        <right style="thin">
          <color rgb="FF83786F"/>
        </right>
        <top style="thin">
          <color rgb="FF83786F"/>
        </top>
        <bottom style="thin">
          <color rgb="FF83786F"/>
        </bottom>
      </border>
    </dxf>
    <dxf>
      <fill>
        <patternFill patternType="none">
          <fgColor indexed="64"/>
          <bgColor auto="1"/>
        </patternFill>
      </fill>
      <border diagonalUp="0" diagonalDown="0" outline="0">
        <left style="thin">
          <color rgb="FF83786F"/>
        </left>
        <right style="thin">
          <color rgb="FF83786F"/>
        </right>
        <top style="thin">
          <color rgb="FF83786F"/>
        </top>
        <bottom style="thin">
          <color rgb="FF83786F"/>
        </bottom>
      </border>
    </dxf>
    <dxf>
      <fill>
        <patternFill patternType="none">
          <fgColor indexed="64"/>
          <bgColor auto="1"/>
        </patternFill>
      </fill>
      <border diagonalUp="0" diagonalDown="0" outline="0">
        <left/>
        <right style="thin">
          <color rgb="FF83786F"/>
        </right>
        <top style="thin">
          <color rgb="FF83786F"/>
        </top>
        <bottom style="thin">
          <color rgb="FF83786F"/>
        </bottom>
      </border>
    </dxf>
    <dxf>
      <font>
        <i/>
        <strike val="0"/>
        <outline val="0"/>
        <shadow val="0"/>
        <u val="none"/>
        <vertAlign val="baseline"/>
        <sz val="11"/>
        <color rgb="FF6A116A"/>
        <name val="Aptos Narrow"/>
        <family val="2"/>
        <scheme val="minor"/>
      </font>
      <fill>
        <patternFill patternType="none">
          <fgColor indexed="64"/>
          <bgColor auto="1"/>
        </patternFill>
      </fill>
    </dxf>
    <dxf>
      <font>
        <i/>
        <strike val="0"/>
        <outline val="0"/>
        <shadow val="0"/>
        <u val="none"/>
        <vertAlign val="baseline"/>
        <sz val="11"/>
        <color rgb="FF6A116A"/>
        <name val="Aptos Narrow"/>
        <family val="2"/>
        <scheme val="minor"/>
      </font>
      <fill>
        <patternFill patternType="none">
          <fgColor indexed="64"/>
          <bgColor auto="1"/>
        </patternFill>
      </fill>
      <border diagonalUp="0" diagonalDown="0" outline="0">
        <left/>
        <right/>
        <top style="thin">
          <color rgb="FF83786F"/>
        </top>
        <bottom style="thin">
          <color rgb="FF83786F"/>
        </bottom>
      </border>
    </dxf>
    <dxf>
      <border outline="0">
        <top style="thin">
          <color rgb="FF83786F"/>
        </top>
      </border>
    </dxf>
    <dxf>
      <border outline="0">
        <left style="thin">
          <color rgb="FF83786F"/>
        </left>
        <right style="thin">
          <color rgb="FF83786F"/>
        </right>
        <top style="thin">
          <color rgb="FF83786F"/>
        </top>
        <bottom style="thin">
          <color rgb="FF83786F"/>
        </bottom>
      </border>
    </dxf>
    <dxf>
      <border outline="0">
        <bottom style="thin">
          <color rgb="FF83786F"/>
        </bottom>
      </border>
    </dxf>
    <dxf>
      <fill>
        <patternFill>
          <bgColor rgb="FFB3AEA9"/>
        </patternFill>
      </fill>
    </dxf>
    <dxf>
      <font>
        <b/>
        <i val="0"/>
        <color theme="0"/>
      </font>
      <fill>
        <patternFill>
          <bgColor rgb="FF6A116A"/>
        </patternFill>
      </fill>
    </dxf>
    <dxf>
      <fill>
        <patternFill>
          <fgColor rgb="FFFFFFFF"/>
          <bgColor rgb="FFE8E6E4"/>
        </patternFill>
      </fill>
      <border>
        <left style="thin">
          <color rgb="FF83786F"/>
        </left>
        <right style="thin">
          <color rgb="FF83786F"/>
        </right>
        <top style="thin">
          <color rgb="FF83786F"/>
        </top>
        <bottom style="thin">
          <color rgb="FF83786F"/>
        </bottom>
        <vertical style="thin">
          <color rgb="FF83786F"/>
        </vertical>
        <horizontal style="thin">
          <color rgb="FF83786F"/>
        </horizontal>
      </border>
    </dxf>
    <dxf>
      <fill>
        <patternFill>
          <bgColor rgb="FFB3AEA9"/>
        </patternFill>
      </fill>
    </dxf>
    <dxf>
      <font>
        <b/>
        <i val="0"/>
        <color theme="0"/>
      </font>
      <fill>
        <patternFill>
          <bgColor rgb="FF375473"/>
        </patternFill>
      </fill>
    </dxf>
    <dxf>
      <font>
        <b/>
        <i val="0"/>
        <color theme="0"/>
      </font>
      <fill>
        <patternFill>
          <bgColor rgb="FF375473"/>
        </patternFill>
      </fill>
    </dxf>
    <dxf>
      <fill>
        <patternFill>
          <fgColor rgb="FFFFFFFF"/>
          <bgColor rgb="FFE8E6E4"/>
        </patternFill>
      </fill>
      <border>
        <left style="thin">
          <color rgb="FF83786F"/>
        </left>
        <right style="thin">
          <color rgb="FF83786F"/>
        </right>
        <top style="thin">
          <color rgb="FF83786F"/>
        </top>
        <bottom style="thin">
          <color rgb="FF83786F"/>
        </bottom>
        <vertical style="thin">
          <color rgb="FF83786F"/>
        </vertical>
        <horizontal style="thin">
          <color rgb="FF83786F"/>
        </horizontal>
      </border>
    </dxf>
    <dxf>
      <fill>
        <patternFill>
          <bgColor rgb="FFB3AEA9"/>
        </patternFill>
      </fill>
    </dxf>
    <dxf>
      <font>
        <b/>
        <i val="0"/>
        <color theme="0"/>
      </font>
      <fill>
        <patternFill>
          <bgColor rgb="FFC724B1"/>
        </patternFill>
      </fill>
    </dxf>
    <dxf>
      <fill>
        <patternFill>
          <fgColor rgb="FFFFFFFF"/>
          <bgColor rgb="FFE8E6E4"/>
        </patternFill>
      </fill>
      <border>
        <left style="thin">
          <color rgb="FF83786F"/>
        </left>
        <right style="thin">
          <color rgb="FF83786F"/>
        </right>
        <top style="thin">
          <color rgb="FF83786F"/>
        </top>
        <bottom style="thin">
          <color rgb="FF83786F"/>
        </bottom>
        <vertical style="thin">
          <color rgb="FF83786F"/>
        </vertical>
        <horizontal style="thin">
          <color rgb="FF83786F"/>
        </horizontal>
      </border>
    </dxf>
  </dxfs>
  <tableStyles count="4" defaultTableStyle="TableStyleMedium2" defaultPivotStyle="PivotStyleLight16">
    <tableStyle name="Basismodel" pivot="0" count="3" xr9:uid="{668F95E2-E812-4A23-86DA-81BF4A39F4AD}">
      <tableStyleElement type="wholeTable" dxfId="83"/>
      <tableStyleElement type="headerRow" dxfId="82"/>
      <tableStyleElement type="secondRowStripe" dxfId="81"/>
    </tableStyle>
    <tableStyle name="Concept" pivot="0" count="4" xr9:uid="{C415D167-7D79-4D57-8B23-10290F97545D}">
      <tableStyleElement type="wholeTable" dxfId="80"/>
      <tableStyleElement type="headerRow" dxfId="79"/>
      <tableStyleElement type="firstColumn" dxfId="78"/>
      <tableStyleElement type="secondRowStripe" dxfId="77"/>
    </tableStyle>
    <tableStyle name="Informatiebehoefte" pivot="0" count="3" xr9:uid="{1CF9E373-1435-4DC2-990F-D0B8AD27F443}">
      <tableStyleElement type="wholeTable" dxfId="76"/>
      <tableStyleElement type="headerRow" dxfId="75"/>
      <tableStyleElement type="secondRowStripe" dxfId="74"/>
    </tableStyle>
    <tableStyle name="Tabelstijl 1" pivot="0" count="0" xr9:uid="{4E091AE3-DAFD-4C69-8325-B1F4CC9CDA05}"/>
  </tableStyles>
  <colors>
    <mruColors>
      <color rgb="FFC724B1"/>
      <color rgb="FF375473"/>
      <color rgb="FF6A116A"/>
      <color rgb="FFEB81EB"/>
      <color rgb="FFF4C2ED"/>
      <color rgb="FFB6C8DC"/>
      <color rgb="FFB3AEA9"/>
      <color rgb="FFA59F99"/>
      <color rgb="FFE8E6E4"/>
      <color rgb="FFB2AB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285749</xdr:colOff>
      <xdr:row>0</xdr:row>
      <xdr:rowOff>119061</xdr:rowOff>
    </xdr:from>
    <xdr:to>
      <xdr:col>0</xdr:col>
      <xdr:colOff>7877174</xdr:colOff>
      <xdr:row>19</xdr:row>
      <xdr:rowOff>9525</xdr:rowOff>
    </xdr:to>
    <xdr:sp macro="" textlink="">
      <xdr:nvSpPr>
        <xdr:cNvPr id="2" name="TextBox 1">
          <a:extLst>
            <a:ext uri="{FF2B5EF4-FFF2-40B4-BE49-F238E27FC236}">
              <a16:creationId xmlns:a16="http://schemas.microsoft.com/office/drawing/2014/main" id="{2BA8536F-B30C-0A7B-7AC5-8CCD3B69224B}"/>
            </a:ext>
          </a:extLst>
        </xdr:cNvPr>
        <xdr:cNvSpPr txBox="1"/>
      </xdr:nvSpPr>
      <xdr:spPr>
        <a:xfrm>
          <a:off x="285749" y="119061"/>
          <a:ext cx="7591425" cy="3509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Het uitgangspunt dat er van elk concept binnen zorginformatie een afgebakend model is. Dit model moet precies gaan over één concept zodat het niet meerdere betekenissen kan hebben. Voorbeelden zijn patiënt, verrichting, labuitslag. Zie P3.3 van de architectuurprincipes zibs 2.0.</a:t>
          </a:r>
        </a:p>
        <a:p>
          <a:endParaRPr lang="nl-NL" sz="1100"/>
        </a:p>
        <a:p>
          <a:r>
            <a:rPr lang="nl-NL" sz="1100"/>
            <a:t>Om dit model boven water te krijgen, moet duidelijk zijn wat de informatiebehoefte is rond het concept. Daar is dit template voor bedoeld. Dit template is gebaseerd op AUCDI Release 2, maar vervolgens aangepast.</a:t>
          </a:r>
        </a:p>
        <a:p>
          <a:endParaRPr lang="nl-NL" sz="1100"/>
        </a:p>
        <a:p>
          <a:r>
            <a:rPr lang="nl-NL" sz="1100"/>
            <a:t>Doorgaans is er al een idee over afbakening van concepten. De eerste stap is om dit template in te vullen voor elk beoogd concept. Later kan blijken dat bepaalde informatie eigenlijk bij een ander concept hoort. Het opstellen van het model is dus een iteratief proces. </a:t>
          </a:r>
        </a:p>
        <a:p>
          <a:endParaRPr lang="nl-NL" sz="1100"/>
        </a:p>
        <a:p>
          <a:r>
            <a:rPr lang="nl-NL" sz="1100"/>
            <a:t>Bepaalde behoeften kunnen tijdens het modelleren bijvoorbeeld buiten scope geplaatst worden, of naar een ander concept verhuizen.</a:t>
          </a:r>
        </a:p>
        <a:p>
          <a:r>
            <a:rPr lang="nl-NL" sz="1100"/>
            <a:t>Om een uitgebreidere omschrijving van een kop te zien klik</a:t>
          </a:r>
          <a:r>
            <a:rPr lang="nl-NL" sz="1100" baseline="0"/>
            <a:t> je op de vetgedrukte titel.</a:t>
          </a:r>
        </a:p>
        <a:p>
          <a:endParaRPr lang="nl-NL" sz="1100" baseline="0"/>
        </a:p>
        <a:p>
          <a:r>
            <a:rPr lang="nl-NL" sz="1100"/>
            <a:t>Nederlands is de basis, sommige onderdelen worden automatisch overgenomen</a:t>
          </a:r>
          <a:r>
            <a:rPr lang="nl-NL" sz="1100" baseline="0"/>
            <a:t> in de engelse vertaling</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D7E9BA32-9F57-9DBE-09F8-19BB04854D12}"/>
            </a:ext>
          </a:extLst>
        </xdr:cNvPr>
        <xdr:cNvSpPr txBox="1"/>
      </xdr:nvSpPr>
      <xdr:spPr>
        <a:xfrm>
          <a:off x="161925" y="223837"/>
          <a:ext cx="6705600" cy="1957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(het is dus niet zo dat eerst de tabel wordt ingevuld en daarna pas de informatiebehoefte).</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161925</xdr:colOff>
      <xdr:row>0</xdr:row>
      <xdr:rowOff>223837</xdr:rowOff>
    </xdr:from>
    <xdr:ext cx="11887200" cy="1957388"/>
    <xdr:sp macro="" textlink="">
      <xdr:nvSpPr>
        <xdr:cNvPr id="2" name="TextBox 1">
          <a:extLst>
            <a:ext uri="{FF2B5EF4-FFF2-40B4-BE49-F238E27FC236}">
              <a16:creationId xmlns:a16="http://schemas.microsoft.com/office/drawing/2014/main" id="{9C5BC79C-E6A6-4762-8E3D-86D891F4AE7C}"/>
            </a:ext>
          </a:extLst>
        </xdr:cNvPr>
        <xdr:cNvSpPr>
          <a:spLocks noGrp="1"/>
        </xdr:cNvSpPr>
      </xdr:nvSpPr>
      <xdr:spPr>
        <a:xfrm>
          <a:off x="161925" y="195262"/>
          <a:ext cx="11887200" cy="1957388"/>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rPr lang="nl-NL" sz="1100">
              <a:solidFill>
                <a:schemeClr val="dk1"/>
              </a:solidFill>
              <a:effectLst/>
              <a:latin typeface="+mn-lt"/>
              <a:ea typeface="+mn-ea"/>
              <a:cs typeface="+mn-cs"/>
            </a:rPr>
            <a:t>Hier staat de Engelse</a:t>
          </a:r>
          <a:r>
            <a:rPr lang="nl-NL" sz="1100" baseline="0">
              <a:solidFill>
                <a:schemeClr val="dk1"/>
              </a:solidFill>
              <a:effectLst/>
              <a:latin typeface="+mn-lt"/>
              <a:ea typeface="+mn-ea"/>
              <a:cs typeface="+mn-cs"/>
            </a:rPr>
            <a:t> vertaling van het concept, de afwijkende rijen worden direct overgenomen of afgeleid van de Nederlandse versie en kan je hier dus niet aanpassen.</a:t>
          </a:r>
          <a:endParaRPr lang="nl-NL">
            <a:effectLst/>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4761</xdr:rowOff>
    </xdr:from>
    <xdr:to>
      <xdr:col>3</xdr:col>
      <xdr:colOff>3295650</xdr:colOff>
      <xdr:row>0</xdr:row>
      <xdr:rowOff>1800224</xdr:rowOff>
    </xdr:to>
    <xdr:sp macro="" textlink="">
      <xdr:nvSpPr>
        <xdr:cNvPr id="2" name="TextBox 1">
          <a:extLst>
            <a:ext uri="{FF2B5EF4-FFF2-40B4-BE49-F238E27FC236}">
              <a16:creationId xmlns:a16="http://schemas.microsoft.com/office/drawing/2014/main" id="{91B98F90-F065-D25C-D33F-375EF972FAA5}"/>
            </a:ext>
          </a:extLst>
        </xdr:cNvPr>
        <xdr:cNvSpPr txBox="1"/>
      </xdr:nvSpPr>
      <xdr:spPr>
        <a:xfrm>
          <a:off x="0" y="4761"/>
          <a:ext cx="5410200" cy="1795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Voor het concept wordt een beschrijving gemaakt van alle informatie waar behoefte aan is. Dit wordt uitgesplitst in individuele elementen, zoals een “datum” of “periode”, een “categorie”, etc.</a:t>
          </a:r>
        </a:p>
        <a:p>
          <a:endParaRPr lang="nl-NL" sz="1100">
            <a:solidFill>
              <a:schemeClr val="dk1"/>
            </a:solidFill>
            <a:effectLst/>
            <a:latin typeface="+mn-lt"/>
            <a:ea typeface="+mn-ea"/>
            <a:cs typeface="+mn-cs"/>
          </a:endParaRPr>
        </a:p>
        <a:p>
          <a:r>
            <a:rPr lang="nl-NL" sz="1100">
              <a:solidFill>
                <a:schemeClr val="dk1"/>
              </a:solidFill>
              <a:effectLst/>
              <a:latin typeface="+mn-lt"/>
              <a:ea typeface="+mn-ea"/>
              <a:cs typeface="+mn-cs"/>
            </a:rPr>
            <a:t>Het gaat hier nog om een </a:t>
          </a:r>
          <a:r>
            <a:rPr lang="nl-NL" sz="1100" i="1">
              <a:solidFill>
                <a:schemeClr val="dk1"/>
              </a:solidFill>
              <a:effectLst/>
              <a:latin typeface="+mn-lt"/>
              <a:ea typeface="+mn-ea"/>
              <a:cs typeface="+mn-cs"/>
            </a:rPr>
            <a:t>beschrijving</a:t>
          </a:r>
          <a:r>
            <a:rPr lang="nl-NL" sz="1100">
              <a:solidFill>
                <a:schemeClr val="dk1"/>
              </a:solidFill>
              <a:effectLst/>
              <a:latin typeface="+mn-lt"/>
              <a:ea typeface="+mn-ea"/>
              <a:cs typeface="+mn-cs"/>
            </a:rPr>
            <a:t> van de behoefte (</a:t>
          </a:r>
          <a:r>
            <a:rPr lang="nl-NL" sz="1100" i="1">
              <a:solidFill>
                <a:schemeClr val="dk1"/>
              </a:solidFill>
              <a:effectLst/>
              <a:latin typeface="+mn-lt"/>
              <a:ea typeface="+mn-ea"/>
              <a:cs typeface="+mn-cs"/>
            </a:rPr>
            <a:t>requirements</a:t>
          </a:r>
          <a:r>
            <a:rPr lang="nl-NL" sz="1100">
              <a:solidFill>
                <a:schemeClr val="dk1"/>
              </a:solidFill>
              <a:effectLst/>
              <a:latin typeface="+mn-lt"/>
              <a:ea typeface="+mn-ea"/>
              <a:cs typeface="+mn-cs"/>
            </a:rPr>
            <a:t>), en niet per se wat het uiteindelijke data-element zal worden. Uiteindelijk moet er een logisch model gekozen worden dat alle behoeften kan afdekken, maar daarvoor is het eerst nodig om eenduidig te weten waar are behoefte aan is.</a:t>
          </a:r>
          <a:endParaRPr lang="nl-NL"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4761</xdr:rowOff>
    </xdr:from>
    <xdr:ext cx="6638925" cy="1795463"/>
    <xdr:sp macro="" textlink="">
      <xdr:nvSpPr>
        <xdr:cNvPr id="2" name="TextBox 1">
          <a:extLst>
            <a:ext uri="{FF2B5EF4-FFF2-40B4-BE49-F238E27FC236}">
              <a16:creationId xmlns:a16="http://schemas.microsoft.com/office/drawing/2014/main" id="{B5803F5A-1554-4E94-BF23-21416E076346}"/>
            </a:ext>
          </a:extLst>
        </xdr:cNvPr>
        <xdr:cNvSpPr>
          <a:spLocks noGrp="1"/>
        </xdr:cNvSpPr>
      </xdr:nvSpPr>
      <xdr:spPr>
        <a:xfrm>
          <a:off x="0" y="4761"/>
          <a:ext cx="6638925" cy="1795463"/>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rPr lang="nl-NL" sz="1100">
              <a:solidFill>
                <a:schemeClr val="dk1"/>
              </a:solidFill>
              <a:latin typeface="+mn-lt"/>
              <a:ea typeface="+mn-lt"/>
              <a:cs typeface="+mn-lt"/>
            </a:rPr>
            <a:t>Hier staat de Engelse</a:t>
          </a:r>
          <a:r>
            <a:rPr lang="nl-NL" sz="1100" baseline="0">
              <a:solidFill>
                <a:schemeClr val="dk1"/>
              </a:solidFill>
              <a:latin typeface="+mn-lt"/>
              <a:ea typeface="+mn-lt"/>
              <a:cs typeface="+mn-lt"/>
            </a:rPr>
            <a:t> vertaling van de informatiebehoefte, de afwijkende kolommen worden direct overgenomen of afgeleid van de Nederlandse versie en kan je hier dus niet aanpassen.</a:t>
          </a:r>
        </a:p>
        <a:p>
          <a:r>
            <a:rPr lang="nl-NL" sz="1100" baseline="0">
              <a:solidFill>
                <a:schemeClr val="dk1"/>
              </a:solidFill>
              <a:latin typeface="+mn-lt"/>
              <a:ea typeface="+mn-lt"/>
              <a:cs typeface="+mn-lt"/>
            </a:rPr>
            <a:t>Let op: maak zelf extra rijen aan hier als dat nodig is.</a:t>
          </a:r>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AFA06B-D8A6-4195-9BF6-0C73A2D19BAD}" name="Concept_NL" displayName="Concept_NL" ref="A2:B10" totalsRowShown="0" headerRowDxfId="58">
  <autoFilter ref="A2:B10" xr:uid="{2AAFA06B-D8A6-4195-9BF6-0C73A2D19BAD}"/>
  <tableColumns count="2">
    <tableColumn id="1" xr3:uid="{76F5BACC-B681-4C44-9D06-F6228F74B5ED}" name="Veld" dataDxfId="57"/>
    <tableColumn id="2" xr3:uid="{85A1F17C-0928-4A45-8474-529CCCCF3C0B}" name="Invulling" dataDxfId="56"/>
  </tableColumns>
  <tableStyleInfo name="Concept"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5B9E96-01F1-4EE7-99D3-185133870CB8}" name="Concept_kenmerk_NL" displayName="Concept_kenmerk_NL" ref="A12:B14" totalsRowShown="0" headerRowBorderDxfId="55" tableBorderDxfId="54" totalsRowBorderDxfId="53">
  <autoFilter ref="A12:B14" xr:uid="{C25B9E96-01F1-4EE7-99D3-185133870CB8}"/>
  <tableColumns count="2">
    <tableColumn id="1" xr3:uid="{AAE7734E-ACAA-488A-A166-FD4202EC4F42}" name="Veld" dataDxfId="52"/>
    <tableColumn id="2" xr3:uid="{3AAED3BA-0576-44A7-9C4F-A99D7D216AA1}" name="Invulling"/>
  </tableColumns>
  <tableStyleInfo name="Concept"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FF9F6F-D240-496F-BA0E-BD4FAFC51AA4}" name="Concept_ENG" displayName="Concept_ENG" ref="A2:B10" totalsRowShown="0" headerRowDxfId="51" dataDxfId="50">
  <autoFilter ref="A2:B10" xr:uid="{00000000-0009-0000-0100-000003000000}"/>
  <tableColumns count="2">
    <tableColumn id="1" xr3:uid="{00000000-0010-0000-0000-000001000000}" name="Field" dataDxfId="49" dataCellStyle="Standaard 2"/>
    <tableColumn id="2" xr3:uid="{00000000-0010-0000-0000-000002000000}" name="Input" dataDxfId="48"/>
  </tableColumns>
  <tableStyleInfo name="Concept"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9811064-F111-4D93-B977-8501872A2727}" name="Tabel11" displayName="Tabel11" ref="A12:B14" totalsRowShown="0" headerRowDxfId="47" dataDxfId="46">
  <autoFilter ref="A12:B14" xr:uid="{D9811064-F111-4D93-B977-8501872A2727}"/>
  <tableColumns count="2">
    <tableColumn id="1" xr3:uid="{A11428A4-3298-4C4B-AD25-04E5010689F2}" name="Field" dataDxfId="45" dataCellStyle="Standaard 2"/>
    <tableColumn id="2" xr3:uid="{A4F38F4D-D093-4598-8C39-233FF2C6FFE6}" name="Input" dataDxfId="44" dataCellStyle="Standaard 2">
      <calculatedColumnFormula array="1">IFERROR(IF(INDEX(Concept_kenmerk_NL[Invulling],ROW()-12)="","[Automatic]",INDEX(Concept_kenmerk_NL[Invulling],ROW()-12)),"[Automatic]")</calculatedColumnFormula>
    </tableColumn>
  </tableColumns>
  <tableStyleInfo name="Concept"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88E4A6-D11E-41ED-885C-82C2A1D43A6F}" name="Informatiebehoefte_NL" displayName="Informatiebehoefte_NL" ref="A2:L37" totalsRowShown="0" headerRowBorderDxfId="73" tableBorderDxfId="72" totalsRowBorderDxfId="71">
  <autoFilter ref="A2:L37" xr:uid="{A588E4A6-D11E-41ED-885C-82C2A1D43A6F}"/>
  <tableColumns count="12">
    <tableColumn id="1" xr3:uid="{B6FD1A13-CC0B-4A42-B011-DD32172ACC98}" name="Key" dataDxfId="70"/>
    <tableColumn id="12" xr3:uid="{5B5D686D-03C0-4897-AC82-1372FB788C7E}" name="EU of NL" dataDxfId="69"/>
    <tableColumn id="2" xr3:uid="{FB1B1932-1EF5-46F5-BB96-BAAA6B117636}" name="Titel" dataDxfId="68"/>
    <tableColumn id="9" xr3:uid="{66F89F04-8513-4A7F-8E79-53CC4E71DC30}" name="Omschrijving" dataDxfId="67"/>
    <tableColumn id="3" xr3:uid="{1DC5060C-FB5B-4ADF-A084-1E7AD539520B}" name="Onderbouwing" dataDxfId="66"/>
    <tableColumn id="4" xr3:uid="{7B0002DE-BAE8-446B-8CCE-8FD816B9095E}" name="Variabiliteit" dataDxfId="65"/>
    <tableColumn id="5" xr3:uid="{8CF91418-2F79-42C5-8B01-54EF0B427149}" name="Aanwezigheid" dataDxfId="64"/>
    <tableColumn id="6" xr3:uid="{C6512283-FDA5-4F50-A49A-36F75F3080B2}" name="Context voor toepassing" dataDxfId="63"/>
    <tableColumn id="7" xr3:uid="{A14E69F9-AB3D-4C94-AFD9-EF0B62F62AD4}" name="Bron" dataDxfId="62"/>
    <tableColumn id="11" xr3:uid="{0D7A2B1F-BC86-415D-82B0-80DF50A83E83}" name="Mapbaar op basismodel" dataDxfId="61"/>
    <tableColumn id="10" xr3:uid="{C820E1A1-566B-4F9A-8CDC-39B23C57F6A7}" name="Opgenomen of niet-opgenomen" dataDxfId="60"/>
    <tableColumn id="8" xr3:uid="{FA69D649-D567-472A-BC7A-AA2B16A83508}" name="Opmerkingen" dataDxfId="59"/>
  </tableColumns>
  <tableStyleInfo name="Informatiebehoeft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C25D63-A93D-4762-B53F-045173792121}" name="Informatiebehoefte_ENG" displayName="Informatiebehoefte_ENG" ref="A2:L37" totalsRowShown="0" dataDxfId="42" headerRowBorderDxfId="43">
  <autoFilter ref="A2:L37" xr:uid="{00000000-0009-0000-0100-000001000000}"/>
  <tableColumns count="12">
    <tableColumn id="1" xr3:uid="{00000000-0010-0000-0100-000001000000}" name="Key" dataDxfId="41">
      <calculatedColumnFormula array="1">IFERROR(IF(INDEX(Informatiebehoefte_NL[Key],ROW()-2)="","[Automatic]",INDEX(Informatiebehoefte_NL[Key],ROW()-2)),"[Automatic]")</calculatedColumnFormula>
    </tableColumn>
    <tableColumn id="12" xr3:uid="{00000000-0010-0000-0100-00000C000000}" name="EU or NL" dataDxfId="40">
      <calculatedColumnFormula array="1">IFERROR(IF(INDEX(Informatiebehoefte_NL[EU of NL],ROW()-2)="","[Automatic]",INDEX(Informatiebehoefte_NL[EU of NL],ROW()-2)),"[Automatic]")</calculatedColumnFormula>
    </tableColumn>
    <tableColumn id="2" xr3:uid="{00000000-0010-0000-0100-000002000000}" name="Title" dataDxfId="39"/>
    <tableColumn id="9" xr3:uid="{00000000-0010-0000-0100-000009000000}" name="Description" dataDxfId="38"/>
    <tableColumn id="3" xr3:uid="{00000000-0010-0000-0100-000003000000}" name="Rationale" dataDxfId="37"/>
    <tableColumn id="4" xr3:uid="{00000000-0010-0000-0100-000004000000}" name="Variability" dataDxfId="36"/>
    <tableColumn id="5" xr3:uid="{00000000-0010-0000-0100-000005000000}" name="Presence" dataDxfId="35"/>
    <tableColumn id="6" xr3:uid="{00000000-0010-0000-0100-000006000000}" name="Context for use" dataDxfId="34"/>
    <tableColumn id="7" xr3:uid="{00000000-0010-0000-0100-000007000000}" name="Source" dataDxfId="33">
      <calculatedColumnFormula array="1">IF(IFERROR(INDEX(Informatiebehoefte_NL[Bron],ROW()-2),"")="","[Automatic]",IFERROR(INDEX(Informatiebehoefte_NL[Bron],ROW()-2),""))</calculatedColumnFormula>
    </tableColumn>
    <tableColumn id="11" xr3:uid="{00000000-0010-0000-0100-00000B000000}" name="Mappable to base model" dataDxfId="32">
      <calculatedColumnFormula>_xlfn.IFNA(VLOOKUP(Informatiebehoefte_NL[[#This Row],[Mapbaar op basismodel]],'Drop down menu''s'!$A$3:$B$4,2,FALSE),"[Automatic]")</calculatedColumnFormula>
    </tableColumn>
    <tableColumn id="10" xr3:uid="{00000000-0010-0000-0100-00000A000000}" name="Included or excluded information-requirements" dataDxfId="31">
      <calculatedColumnFormula>_xlfn.IFNA(VLOOKUP(Informatiebehoefte_NL[[#This Row],[Opgenomen of niet-opgenomen]],'Drop down menu''s'!$A$10:$B$11,2,FALSE),"[Automatic]")</calculatedColumnFormula>
    </tableColumn>
    <tableColumn id="8" xr3:uid="{00000000-0010-0000-0100-000008000000}" name="Comments" dataDxfId="30"/>
  </tableColumns>
  <tableStyleInfo name="Informatiebehoeft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5EF7C7-E0AF-4D39-894E-6B21679691A1}" name="Bronnen" displayName="Bronnen" ref="A2:E31" totalsRowShown="0">
  <autoFilter ref="A2:E31" xr:uid="{DE5EF7C7-E0AF-4D39-894E-6B21679691A1}"/>
  <tableColumns count="5">
    <tableColumn id="1" xr3:uid="{6ED92AEC-B4E7-4E65-9621-A6435F73A83B}" name="Afkorting / abbreviation"/>
    <tableColumn id="2" xr3:uid="{8338A683-A994-4DCF-80D9-B8013C140938}" name="Verwijzing (URL) / Reference (URL)"/>
    <tableColumn id="3" xr3:uid="{D36EB654-1C85-4197-9EC6-ED23F6DD32FB}" name="Naam / name"/>
    <tableColumn id="4" xr3:uid="{23C06195-0663-49AE-8343-92ADF7227C52}" name="Versie / version"/>
    <tableColumn id="5" xr3:uid="{9B0E6029-29CF-408A-829D-00B17C4245F2}" name="Opmerkingen/ Comments" dataDxfId="29"/>
  </tableColumns>
  <tableStyleInfo name="Informatiebehoeft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5A33524-44C5-45D6-9390-D8BCA2DD3294}" name="Tracability" displayName="Tracability" ref="A2:J37" totalsRowShown="0" headerRowDxfId="28" dataDxfId="27">
  <autoFilter ref="A2:J37" xr:uid="{D5A33524-44C5-45D6-9390-D8BCA2DD3294}"/>
  <tableColumns count="10">
    <tableColumn id="9" xr3:uid="{90C80F77-67F0-4F6D-9DF7-7CB4674CB76E}" name="Titel (informatie-requirement)" dataDxfId="26">
      <calculatedColumnFormula array="1">IFERROR(IF(INDEX(Informatiebehoefte_NL[Titel],ROW()-2)="","[Automatic]",INDEX(Informatiebehoefte_NL[Titel],ROW()-2)),"[Automatic]")</calculatedColumnFormula>
    </tableColumn>
    <tableColumn id="10" xr3:uid="{986F4266-87A2-42D9-B243-AAD7B85D8623}" name="Title (informatie-requirement)" dataDxfId="25">
      <calculatedColumnFormula array="1">IFERROR(IF(INDEX(Informatiebehoefte_ENG[Title],ROW()-2)="","[Automatic]",INDEX(Informatiebehoefte_ENG[Title],ROW()-2)),"[Automatic]")</calculatedColumnFormula>
    </tableColumn>
    <tableColumn id="1" xr3:uid="{79B2A0D5-115B-492C-AD49-118313AE93E0}" name="FHIR" dataDxfId="24"/>
    <tableColumn id="2" xr3:uid="{0C77E941-8628-4EDD-85B8-42C2B1E71B7B}" name="openEHR" dataDxfId="23"/>
    <tableColumn id="3" xr3:uid="{BBA7B196-54BF-4AF5-BEA8-96C9D14B048F}" name="[nog in te vullen]" dataDxfId="22"/>
    <tableColumn id="4" xr3:uid="{4359EF29-83F1-4F7A-ADC8-92391FAEAB54}" name="[nog in te vullen]2" dataDxfId="21"/>
    <tableColumn id="5" xr3:uid="{68CC3E33-2F51-426F-AC83-6DAD681D37BD}" name="[nog in te vullen]3" dataDxfId="20"/>
    <tableColumn id="6" xr3:uid="{076F1FBF-4DDD-498A-9BA7-0079BC20A1C4}" name="[nog in te vullen]4" dataDxfId="19"/>
    <tableColumn id="7" xr3:uid="{B2F60E75-22BB-4D47-B5C7-1DC4D5B29EC1}" name="[nog in te vullen]5" dataDxfId="18"/>
    <tableColumn id="8" xr3:uid="{BAE6329E-FEAD-4DB5-B0DE-ED2AA612E248}" name="[nog in te vullen]6" dataDxfId="17"/>
  </tableColumns>
  <tableStyleInfo name="Informatiebehoeft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88D629-0417-4A50-9C51-F3FD0C498D63}" name="Basismodel_NL" displayName="Basismodel_NL" ref="A2:B4" totalsRowShown="0">
  <autoFilter ref="A2:B4" xr:uid="{8088D629-0417-4A50-9C51-F3FD0C498D63}"/>
  <tableColumns count="2">
    <tableColumn id="1" xr3:uid="{5B20710C-DE4A-4F49-8BA3-E888020381A6}" name="Veld" dataDxfId="16"/>
    <tableColumn id="2" xr3:uid="{DBE59D81-5C23-4EF1-BC2D-B03E20D31AD6}" name="Invulling"/>
  </tableColumns>
  <tableStyleInfo name="Basismodel"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CBB38F-4C5F-461A-8B6E-5324DB1790DE}" name="Tabel13" displayName="Tabel13" ref="A6:B7" totalsRowShown="0" headerRowBorderDxfId="15" tableBorderDxfId="14" totalsRowBorderDxfId="13">
  <autoFilter ref="A6:B7" xr:uid="{F5CBB38F-4C5F-461A-8B6E-5324DB1790DE}"/>
  <tableColumns count="2">
    <tableColumn id="1" xr3:uid="{29C7076B-B0E2-4630-9921-273326310C07}" name="Veld" dataDxfId="12"/>
    <tableColumn id="2" xr3:uid="{64B95A37-E67F-4F27-A610-EEBC8575EFC5}" name="Invulling" dataDxfId="11"/>
  </tableColumns>
  <tableStyleInfo name="Basismodel"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616A17D-A9A6-4D14-963B-8C86CAD5967A}" name="Basismodel_ENG" displayName="Basismodel_ENG" ref="A2:B4" totalsRowShown="0" headerRowDxfId="10" dataDxfId="9">
  <autoFilter ref="A2:B4" xr:uid="{00000000-0009-0000-0100-000004000000}"/>
  <tableColumns count="2">
    <tableColumn id="1" xr3:uid="{00000000-0010-0000-0400-000001000000}" name="Field" dataDxfId="8"/>
    <tableColumn id="2" xr3:uid="{00000000-0010-0000-0400-000002000000}" name="Input" dataDxfId="7">
      <calculatedColumnFormula array="1">IFERROR(IF(INDEX(Basismodel_NL[Invulling],ROW()-2)="","[Automatic]",INDEX(Basismodel_NL[Invulling],ROW()-2)),"[Automatic]")</calculatedColumnFormula>
    </tableColumn>
  </tableColumns>
  <tableStyleInfo name="Basismodel"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5670ACB-4BA3-4EFB-9290-AFEC3E77287C}" name="Considerations" displayName="Considerations" ref="A6:B7" totalsRowShown="0" headerRowDxfId="6" dataDxfId="4" headerRowBorderDxfId="5" tableBorderDxfId="3" totalsRowBorderDxfId="2">
  <autoFilter ref="A6:B7" xr:uid="{85670ACB-4BA3-4EFB-9290-AFEC3E77287C}"/>
  <tableColumns count="2">
    <tableColumn id="1" xr3:uid="{397161C3-4A8E-44E1-B673-C02169CB7EAE}" name="Field" dataDxfId="1" dataCellStyle="Standaard 2"/>
    <tableColumn id="2" xr3:uid="{730DA6CC-D0F7-4280-83A7-31B24EBE76AA}" name="Input" dataDxfId="0" dataCellStyle="Standaard 2"/>
  </tableColumns>
  <tableStyleInfo name="Basismodel"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13F7-63B2-4F83-92B0-1C8153859891}">
  <dimension ref="A1"/>
  <sheetViews>
    <sheetView workbookViewId="0">
      <selection activeCell="A26" sqref="A26"/>
    </sheetView>
  </sheetViews>
  <sheetFormatPr defaultRowHeight="15" x14ac:dyDescent="0.25"/>
  <cols>
    <col min="1" max="1" width="218.42578125" customWidth="1"/>
  </cols>
  <sheetData>
    <row r="1" spans="1:1" ht="15" customHeight="1" x14ac:dyDescent="0.25">
      <c r="A1"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E3B3-D087-4A2B-920B-9BA971FAD64B}">
  <sheetPr>
    <tabColor rgb="FF375473"/>
  </sheetPr>
  <dimension ref="A1:E14"/>
  <sheetViews>
    <sheetView zoomScale="130" zoomScaleNormal="130" workbookViewId="0">
      <pane xSplit="1" ySplit="2" topLeftCell="B3" activePane="bottomRight" state="frozen"/>
      <selection pane="topRight" activeCell="B1" sqref="B1"/>
      <selection pane="bottomLeft" activeCell="A3" sqref="A3"/>
      <selection pane="bottomRight" activeCell="A15" sqref="A15"/>
    </sheetView>
  </sheetViews>
  <sheetFormatPr defaultRowHeight="15" x14ac:dyDescent="0.25"/>
  <cols>
    <col min="1" max="1" width="23" customWidth="1"/>
    <col min="2" max="2" width="106.85546875" customWidth="1"/>
  </cols>
  <sheetData>
    <row r="1" spans="1:5" ht="190.5" customHeight="1" x14ac:dyDescent="0.25">
      <c r="A1" s="3"/>
    </row>
    <row r="2" spans="1:5" hidden="1" x14ac:dyDescent="0.25">
      <c r="A2" s="2" t="s">
        <v>0</v>
      </c>
      <c r="B2" s="2" t="s">
        <v>38</v>
      </c>
    </row>
    <row r="3" spans="1:5" x14ac:dyDescent="0.25">
      <c r="A3" s="15" t="s">
        <v>31</v>
      </c>
      <c r="B3" s="1" t="s">
        <v>86</v>
      </c>
    </row>
    <row r="4" spans="1:5" x14ac:dyDescent="0.25">
      <c r="A4" s="15" t="s">
        <v>1</v>
      </c>
      <c r="B4" t="s">
        <v>78</v>
      </c>
    </row>
    <row r="5" spans="1:5" x14ac:dyDescent="0.25">
      <c r="A5" s="15" t="s">
        <v>2</v>
      </c>
      <c r="B5" t="s">
        <v>79</v>
      </c>
    </row>
    <row r="6" spans="1:5" x14ac:dyDescent="0.25">
      <c r="A6" s="15" t="s">
        <v>3</v>
      </c>
      <c r="B6" t="s">
        <v>80</v>
      </c>
    </row>
    <row r="7" spans="1:5" x14ac:dyDescent="0.25">
      <c r="A7" s="15" t="s">
        <v>4</v>
      </c>
      <c r="B7" t="s">
        <v>81</v>
      </c>
    </row>
    <row r="8" spans="1:5" x14ac:dyDescent="0.25">
      <c r="A8" s="15" t="s">
        <v>5</v>
      </c>
      <c r="B8" t="s">
        <v>82</v>
      </c>
    </row>
    <row r="9" spans="1:5" x14ac:dyDescent="0.25">
      <c r="A9" s="15" t="s">
        <v>6</v>
      </c>
      <c r="B9" t="s">
        <v>83</v>
      </c>
    </row>
    <row r="10" spans="1:5" x14ac:dyDescent="0.25">
      <c r="A10" s="15" t="s">
        <v>7</v>
      </c>
      <c r="B10" s="1" t="s">
        <v>84</v>
      </c>
    </row>
    <row r="12" spans="1:5" hidden="1" x14ac:dyDescent="0.25">
      <c r="A12" s="48" t="s">
        <v>0</v>
      </c>
      <c r="B12" s="2" t="s">
        <v>38</v>
      </c>
      <c r="E12" t="s">
        <v>84</v>
      </c>
    </row>
    <row r="13" spans="1:5" x14ac:dyDescent="0.25">
      <c r="A13" s="47" t="s">
        <v>18</v>
      </c>
      <c r="B13" t="s">
        <v>88</v>
      </c>
    </row>
    <row r="14" spans="1:5" x14ac:dyDescent="0.25">
      <c r="A14" s="49" t="s">
        <v>8</v>
      </c>
      <c r="B14" t="s">
        <v>85</v>
      </c>
    </row>
  </sheetData>
  <dataValidations count="8">
    <dataValidation allowBlank="1" showInputMessage="1" showErrorMessage="1" promptTitle="Bouwblokkcode" prompt="3-letterige code die uniek is voor dit bouwblok. Deze wordt gebruikt voor de key van de informatie-requirements." sqref="A13" xr:uid="{80E4FD05-755E-404C-A385-B6D9217924A9}"/>
    <dataValidation allowBlank="1" showInputMessage="1" showErrorMessage="1" promptTitle="Conceptbeschrijving" prompt="De definitie of beschrijving van het concept" sqref="A4" xr:uid="{3CDD4708-0DB0-4EC0-918F-C7CC5B57C244}"/>
    <dataValidation allowBlank="1" showInputMessage="1" showErrorMessage="1" promptTitle="Doel" prompt="De doelen en redenen om het concept vast te leggen en/of uit te wisselen" sqref="A5" xr:uid="{F1C1CF8C-47F2-45EC-836C-3E51875D0F9A}"/>
    <dataValidation allowBlank="1" showInputMessage="1" showErrorMessage="1" promptTitle="Gebruiksscenario('s)" prompt="Geeft aan in welke context(en) het concept wordt gebruikt. Geef voorbeelden van gebruik in informatiestandaarden" sqref="A6" xr:uid="{E7C99E81-0C44-48EE-B440-A8C02D7B47A9}"/>
    <dataValidation allowBlank="1" showInputMessage="1" showErrorMessage="1" promptTitle="Alias(sen)" prompt="Alle bekende synoniemen voor het concept" sqref="A8" xr:uid="{9876B342-888C-4557-96AE-BD46292FDF17}"/>
    <dataValidation allowBlank="1" showInputMessage="1" showErrorMessage="1" promptTitle="Juist gebruik" prompt="Beschrijf hier waarvoor het concept wél bedoeld is" sqref="A9" xr:uid="{A8DBA2D7-E8A7-4517-B488-69D46EC268A7}"/>
    <dataValidation allowBlank="1" showInputMessage="1" showErrorMessage="1" promptTitle="Onjuist gebruik" prompt="Beschrijf hier waar het concept niet voor bedoeld is en geef waar mogelijk aan welk concept er wel geschikt voor is" sqref="A10" xr:uid="{4644D679-B2CD-4392-8535-71D68B8C99E5}"/>
    <dataValidation allowBlank="1" showInputMessage="1" showErrorMessage="1" promptTitle="ART-DECOR-id" prompt="Het id op AR-DECOR van het afsprakenmodel, bv. 2.16.840.1.113883.2.4.3.11.60.153.4.12/2026-06-04T00:00:00" sqref="A14" xr:uid="{F5533F68-3BE1-4CC1-BC78-D5CB94AF50E4}"/>
  </dataValidations>
  <pageMargins left="0.7" right="0.7" top="0.75" bottom="0.75" header="0.3" footer="0.3"/>
  <pageSetup paperSize="9" orientation="portrait"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4D2F-7007-4DCA-953B-474B2BB50452}">
  <sheetPr>
    <tabColor rgb="FF375473"/>
  </sheetPr>
  <dimension ref="A1:B15"/>
  <sheetViews>
    <sheetView zoomScale="120" zoomScaleNormal="120" workbookViewId="0">
      <pane xSplit="1" ySplit="2" topLeftCell="B3" activePane="bottomRight" state="frozen"/>
      <selection pane="topRight" activeCell="B1" sqref="B1"/>
      <selection pane="bottomLeft" activeCell="A3" sqref="A3"/>
      <selection pane="bottomRight" activeCell="B1" sqref="B1"/>
    </sheetView>
  </sheetViews>
  <sheetFormatPr defaultRowHeight="15" x14ac:dyDescent="0.25"/>
  <cols>
    <col min="1" max="1" width="23" style="25" customWidth="1"/>
    <col min="2" max="2" width="106.85546875" style="25" customWidth="1"/>
    <col min="3" max="16384" width="9.140625" style="25"/>
  </cols>
  <sheetData>
    <row r="1" spans="1:2" ht="190.5" customHeight="1" x14ac:dyDescent="0.25">
      <c r="A1" s="24"/>
    </row>
    <row r="2" spans="1:2" hidden="1" x14ac:dyDescent="0.25">
      <c r="A2" s="26" t="s">
        <v>49</v>
      </c>
      <c r="B2" s="54" t="s">
        <v>61</v>
      </c>
    </row>
    <row r="3" spans="1:2" x14ac:dyDescent="0.25">
      <c r="A3" s="27" t="s">
        <v>47</v>
      </c>
      <c r="B3" s="1" t="s">
        <v>87</v>
      </c>
    </row>
    <row r="4" spans="1:2" x14ac:dyDescent="0.25">
      <c r="A4" s="27" t="s">
        <v>45</v>
      </c>
      <c r="B4" t="s">
        <v>78</v>
      </c>
    </row>
    <row r="5" spans="1:2" x14ac:dyDescent="0.25">
      <c r="A5" s="27" t="s">
        <v>44</v>
      </c>
      <c r="B5" t="s">
        <v>79</v>
      </c>
    </row>
    <row r="6" spans="1:2" x14ac:dyDescent="0.25">
      <c r="A6" s="27" t="s">
        <v>43</v>
      </c>
      <c r="B6" t="s">
        <v>80</v>
      </c>
    </row>
    <row r="7" spans="1:2" x14ac:dyDescent="0.25">
      <c r="A7" s="27" t="s">
        <v>42</v>
      </c>
      <c r="B7" t="s">
        <v>81</v>
      </c>
    </row>
    <row r="8" spans="1:2" x14ac:dyDescent="0.25">
      <c r="A8" s="27" t="s">
        <v>41</v>
      </c>
      <c r="B8" t="s">
        <v>82</v>
      </c>
    </row>
    <row r="9" spans="1:2" x14ac:dyDescent="0.25">
      <c r="A9" s="27" t="s">
        <v>40</v>
      </c>
      <c r="B9" t="s">
        <v>83</v>
      </c>
    </row>
    <row r="10" spans="1:2" x14ac:dyDescent="0.25">
      <c r="A10" s="27" t="s">
        <v>39</v>
      </c>
      <c r="B10" s="1" t="s">
        <v>84</v>
      </c>
    </row>
    <row r="12" spans="1:2" hidden="1" x14ac:dyDescent="0.25">
      <c r="A12" s="26" t="s">
        <v>49</v>
      </c>
      <c r="B12" s="54" t="s">
        <v>61</v>
      </c>
    </row>
    <row r="13" spans="1:2" x14ac:dyDescent="0.25">
      <c r="A13" s="28" t="s">
        <v>46</v>
      </c>
      <c r="B13" s="29" t="str" cm="1">
        <f t="array" ref="B13">IFERROR(IF(INDEX(Concept_kenmerk_NL[Invulling],ROW()-12)="","[Automatic]",INDEX(Concept_kenmerk_NL[Invulling],ROW()-12)),"[Automatic]")</f>
        <v>PRO</v>
      </c>
    </row>
    <row r="14" spans="1:2" x14ac:dyDescent="0.25">
      <c r="A14" s="28" t="s">
        <v>8</v>
      </c>
      <c r="B14" s="29" t="str" cm="1">
        <f t="array" ref="B14">IFERROR(IF(INDEX(Concept_kenmerk_NL[Invulling],ROW()-12)="","[Automatic]",INDEX(Concept_kenmerk_NL[Invulling],ROW()-12)),"[Automatic]")</f>
        <v>2.16.840.1.113883.2.4.3.11.60.153.4.28/2026-07-15T00:00:00</v>
      </c>
    </row>
    <row r="15" spans="1:2" x14ac:dyDescent="0.25">
      <c r="B15" s="30"/>
    </row>
  </sheetData>
  <sheetProtection insertRows="0" insertHyperlinks="0"/>
  <dataValidations count="8">
    <dataValidation allowBlank="1" showInputMessage="1" showErrorMessage="1" promptTitle="ART-DECOR ID" prompt="The ART-DECOR identifier of the agreement model, e.g. 2.16.840.1.113883.2.4.3.11.60.153.4.12/2026-06-04T00:00:00." sqref="A14" xr:uid="{00000000-0002-0000-0100-000008000000}"/>
    <dataValidation allowBlank="1" showInputMessage="1" showErrorMessage="1" promptTitle="Incorrect use" prompt="Describe what the concept is not intended for and, where possible, identify the concept that should be used instead." sqref="A10" xr:uid="{00000000-0002-0000-0100-000006000000}"/>
    <dataValidation allowBlank="1" showInputMessage="1" showErrorMessage="1" promptTitle="Correct use" prompt="Describe what the concept is intended to be used for." sqref="A9" xr:uid="{00000000-0002-0000-0100-000005000000}"/>
    <dataValidation allowBlank="1" showInputMessage="1" showErrorMessage="1" promptTitle="Alias(es)" prompt="All known synonyms for the concept." sqref="A8" xr:uid="{00000000-0002-0000-0100-000004000000}"/>
    <dataValidation allowBlank="1" showInputMessage="1" showErrorMessage="1" promptTitle="Use case(s)" prompt="Describe the context(s) in which the concept is used. Include examples of use in information standards." sqref="A6" xr:uid="{00000000-0002-0000-0100-000003000000}"/>
    <dataValidation allowBlank="1" showInputMessage="1" showErrorMessage="1" promptTitle="Purpose" prompt="The purposes and reasons for recording and/or exchanging the concept." sqref="A5" xr:uid="{00000000-0002-0000-0100-000002000000}"/>
    <dataValidation allowBlank="1" showInputMessage="1" showErrorMessage="1" promptTitle="Concept description" prompt="The definition or description of the concept." sqref="A4" xr:uid="{00000000-0002-0000-0100-000001000000}"/>
    <dataValidation allowBlank="1" showInputMessage="1" showErrorMessage="1" promptTitle="Building block code" prompt="A unique three-letter code for this building block. It is used in the keys of the information requirements." sqref="A13" xr:uid="{00000000-0002-0000-0100-000000000000}"/>
  </dataValidation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4CDAF-2A08-4BE8-92C3-F4E7A6F24E1B}">
  <sheetPr>
    <tabColor rgb="FF6A116A"/>
  </sheetPr>
  <dimension ref="A1:L43"/>
  <sheetViews>
    <sheetView zoomScaleNormal="100" workbookViewId="0">
      <pane xSplit="2" ySplit="2" topLeftCell="G3" activePane="bottomRight" state="frozen"/>
      <selection pane="topRight" activeCell="C1" sqref="C1"/>
      <selection pane="bottomLeft" activeCell="A3" sqref="A3"/>
      <selection pane="bottomRight" activeCell="D3" sqref="D3:H3"/>
    </sheetView>
  </sheetViews>
  <sheetFormatPr defaultRowHeight="15" x14ac:dyDescent="0.25"/>
  <cols>
    <col min="1" max="2" width="15.7109375" customWidth="1"/>
    <col min="3" max="3" width="30.7109375" customWidth="1"/>
    <col min="4" max="4" width="68.42578125" customWidth="1"/>
    <col min="5" max="5" width="52.140625" customWidth="1"/>
    <col min="6" max="7" width="48.7109375" customWidth="1"/>
    <col min="8" max="10" width="34.42578125" customWidth="1"/>
    <col min="11" max="11" width="36.85546875" style="1" customWidth="1"/>
    <col min="12" max="12" width="41.42578125" customWidth="1"/>
  </cols>
  <sheetData>
    <row r="1" spans="1:12" ht="191.25" customHeight="1" x14ac:dyDescent="0.25"/>
    <row r="2" spans="1:12" x14ac:dyDescent="0.25">
      <c r="A2" t="s">
        <v>19</v>
      </c>
      <c r="B2" t="s">
        <v>67</v>
      </c>
      <c r="C2" t="s">
        <v>20</v>
      </c>
      <c r="D2" t="s">
        <v>9</v>
      </c>
      <c r="E2" t="s">
        <v>15</v>
      </c>
      <c r="F2" t="s">
        <v>10</v>
      </c>
      <c r="G2" t="s">
        <v>11</v>
      </c>
      <c r="H2" t="s">
        <v>25</v>
      </c>
      <c r="I2" t="s">
        <v>21</v>
      </c>
      <c r="J2" t="s">
        <v>16</v>
      </c>
      <c r="K2" t="s">
        <v>17</v>
      </c>
      <c r="L2" s="21" t="s">
        <v>14</v>
      </c>
    </row>
    <row r="3" spans="1:12" x14ac:dyDescent="0.25">
      <c r="A3">
        <v>1</v>
      </c>
      <c r="B3" t="s">
        <v>70</v>
      </c>
      <c r="C3" t="s">
        <v>89</v>
      </c>
      <c r="D3" t="s">
        <v>90</v>
      </c>
      <c r="F3" t="s">
        <v>91</v>
      </c>
      <c r="G3" t="s">
        <v>92</v>
      </c>
      <c r="K3"/>
      <c r="L3" s="22"/>
    </row>
    <row r="4" spans="1:12" x14ac:dyDescent="0.25">
      <c r="A4" t="s">
        <v>93</v>
      </c>
      <c r="B4" t="s">
        <v>69</v>
      </c>
      <c r="C4" t="s">
        <v>94</v>
      </c>
      <c r="D4" t="s">
        <v>90</v>
      </c>
      <c r="F4" t="s">
        <v>95</v>
      </c>
      <c r="G4" t="s">
        <v>95</v>
      </c>
      <c r="I4" t="s">
        <v>134</v>
      </c>
      <c r="K4"/>
      <c r="L4" s="22"/>
    </row>
    <row r="5" spans="1:12" x14ac:dyDescent="0.25">
      <c r="A5" t="s">
        <v>96</v>
      </c>
      <c r="C5" t="s">
        <v>97</v>
      </c>
      <c r="D5" t="s">
        <v>98</v>
      </c>
      <c r="F5" t="s">
        <v>95</v>
      </c>
      <c r="G5" t="s">
        <v>95</v>
      </c>
      <c r="I5" t="s">
        <v>139</v>
      </c>
      <c r="K5"/>
      <c r="L5" s="22"/>
    </row>
    <row r="6" spans="1:12" x14ac:dyDescent="0.25">
      <c r="A6" t="s">
        <v>99</v>
      </c>
      <c r="C6" t="s">
        <v>100</v>
      </c>
      <c r="D6" t="s">
        <v>101</v>
      </c>
      <c r="F6" t="s">
        <v>102</v>
      </c>
      <c r="G6" t="s">
        <v>103</v>
      </c>
      <c r="K6"/>
      <c r="L6" s="22"/>
    </row>
    <row r="7" spans="1:12" x14ac:dyDescent="0.25">
      <c r="A7" t="s">
        <v>104</v>
      </c>
      <c r="C7" t="s">
        <v>105</v>
      </c>
      <c r="D7" t="s">
        <v>106</v>
      </c>
      <c r="F7" t="s">
        <v>107</v>
      </c>
      <c r="G7" t="s">
        <v>108</v>
      </c>
      <c r="K7"/>
      <c r="L7" s="22"/>
    </row>
    <row r="8" spans="1:12" x14ac:dyDescent="0.25">
      <c r="A8" t="s">
        <v>109</v>
      </c>
      <c r="C8" t="s">
        <v>110</v>
      </c>
      <c r="D8" t="s">
        <v>111</v>
      </c>
      <c r="F8" t="s">
        <v>112</v>
      </c>
      <c r="G8" t="s">
        <v>113</v>
      </c>
      <c r="K8"/>
      <c r="L8" s="22"/>
    </row>
    <row r="9" spans="1:12" x14ac:dyDescent="0.25">
      <c r="A9" t="s">
        <v>114</v>
      </c>
      <c r="C9" t="s">
        <v>115</v>
      </c>
      <c r="D9" t="s">
        <v>116</v>
      </c>
      <c r="F9" t="s">
        <v>117</v>
      </c>
      <c r="G9" t="s">
        <v>118</v>
      </c>
      <c r="K9"/>
      <c r="L9" s="22"/>
    </row>
    <row r="10" spans="1:12" x14ac:dyDescent="0.25">
      <c r="A10" t="s">
        <v>119</v>
      </c>
      <c r="C10" t="s">
        <v>120</v>
      </c>
      <c r="D10" t="s">
        <v>121</v>
      </c>
      <c r="F10" t="s">
        <v>91</v>
      </c>
      <c r="G10" t="s">
        <v>122</v>
      </c>
      <c r="K10"/>
      <c r="L10" s="22"/>
    </row>
    <row r="11" spans="1:12" x14ac:dyDescent="0.25">
      <c r="A11" t="s">
        <v>123</v>
      </c>
      <c r="C11" t="s">
        <v>125</v>
      </c>
      <c r="D11" t="s">
        <v>126</v>
      </c>
      <c r="F11" t="s">
        <v>127</v>
      </c>
      <c r="G11" t="s">
        <v>128</v>
      </c>
      <c r="H11" t="s">
        <v>129</v>
      </c>
      <c r="K11"/>
      <c r="L11" s="22" t="s">
        <v>124</v>
      </c>
    </row>
    <row r="12" spans="1:12" x14ac:dyDescent="0.25">
      <c r="A12">
        <v>2</v>
      </c>
      <c r="C12" t="s">
        <v>130</v>
      </c>
      <c r="D12" t="s">
        <v>131</v>
      </c>
      <c r="F12" t="s">
        <v>132</v>
      </c>
      <c r="G12" t="s">
        <v>133</v>
      </c>
      <c r="K12"/>
      <c r="L12" s="22"/>
    </row>
    <row r="13" spans="1:12" x14ac:dyDescent="0.25">
      <c r="K13"/>
      <c r="L13" s="22"/>
    </row>
    <row r="14" spans="1:12" x14ac:dyDescent="0.25">
      <c r="K14"/>
      <c r="L14" s="22"/>
    </row>
    <row r="15" spans="1:12" x14ac:dyDescent="0.25">
      <c r="K15"/>
      <c r="L15" s="22"/>
    </row>
    <row r="16" spans="1:12" x14ac:dyDescent="0.25">
      <c r="K16"/>
      <c r="L16" s="22"/>
    </row>
    <row r="17" spans="1:12" x14ac:dyDescent="0.25">
      <c r="K17"/>
      <c r="L17" s="22"/>
    </row>
    <row r="18" spans="1:12" x14ac:dyDescent="0.25">
      <c r="K18"/>
      <c r="L18" s="22"/>
    </row>
    <row r="19" spans="1:12" x14ac:dyDescent="0.25">
      <c r="K19"/>
      <c r="L19" s="22"/>
    </row>
    <row r="20" spans="1:12" x14ac:dyDescent="0.25">
      <c r="K20"/>
      <c r="L20" s="22"/>
    </row>
    <row r="21" spans="1:12" x14ac:dyDescent="0.25">
      <c r="K21"/>
      <c r="L21" s="22"/>
    </row>
    <row r="22" spans="1:12" x14ac:dyDescent="0.25">
      <c r="K22"/>
      <c r="L22" s="22"/>
    </row>
    <row r="23" spans="1:12" x14ac:dyDescent="0.25">
      <c r="A23" s="12"/>
      <c r="B23" s="13"/>
      <c r="C23" s="4"/>
      <c r="D23" s="5"/>
      <c r="E23" s="5"/>
      <c r="F23" s="5"/>
      <c r="G23" s="5"/>
      <c r="H23" s="6"/>
      <c r="I23" s="5"/>
      <c r="J23" s="14"/>
      <c r="K23" s="6"/>
      <c r="L23" s="59"/>
    </row>
    <row r="24" spans="1:12" x14ac:dyDescent="0.25">
      <c r="A24" s="12"/>
      <c r="B24" s="13"/>
      <c r="C24" s="4"/>
      <c r="D24" s="5"/>
      <c r="E24" s="5"/>
      <c r="F24" s="5"/>
      <c r="G24" s="5"/>
      <c r="H24" s="6"/>
      <c r="I24" s="5"/>
      <c r="J24" s="14"/>
      <c r="K24" s="6"/>
      <c r="L24" s="59"/>
    </row>
    <row r="25" spans="1:12" x14ac:dyDescent="0.25">
      <c r="A25" s="12"/>
      <c r="B25" s="13"/>
      <c r="C25" s="4"/>
      <c r="D25" s="5"/>
      <c r="E25" s="5"/>
      <c r="F25" s="5"/>
      <c r="G25" s="5"/>
      <c r="H25" s="6"/>
      <c r="I25" s="5"/>
      <c r="J25" s="14"/>
      <c r="K25" s="6"/>
      <c r="L25" s="59"/>
    </row>
    <row r="26" spans="1:12" x14ac:dyDescent="0.25">
      <c r="A26" s="12"/>
      <c r="B26" s="13"/>
      <c r="C26" s="4"/>
      <c r="D26" s="5"/>
      <c r="E26" s="5"/>
      <c r="F26" s="5"/>
      <c r="G26" s="5"/>
      <c r="H26" s="6"/>
      <c r="I26" s="5"/>
      <c r="J26" s="14"/>
      <c r="K26" s="6"/>
      <c r="L26" s="59"/>
    </row>
    <row r="27" spans="1:12" x14ac:dyDescent="0.25">
      <c r="A27" s="12"/>
      <c r="B27" s="13"/>
      <c r="C27" s="4"/>
      <c r="D27" s="5"/>
      <c r="E27" s="5"/>
      <c r="F27" s="5"/>
      <c r="G27" s="5"/>
      <c r="H27" s="6"/>
      <c r="I27" s="5"/>
      <c r="J27" s="14"/>
      <c r="K27" s="6"/>
      <c r="L27" s="59"/>
    </row>
    <row r="28" spans="1:12" x14ac:dyDescent="0.25">
      <c r="A28" s="12"/>
      <c r="B28" s="13"/>
      <c r="C28" s="4"/>
      <c r="D28" s="5"/>
      <c r="E28" s="5"/>
      <c r="F28" s="5"/>
      <c r="G28" s="5"/>
      <c r="H28" s="6"/>
      <c r="I28" s="5"/>
      <c r="J28" s="14"/>
      <c r="K28" s="6"/>
      <c r="L28" s="59"/>
    </row>
    <row r="29" spans="1:12" x14ac:dyDescent="0.25">
      <c r="A29" s="12"/>
      <c r="B29" s="13"/>
      <c r="C29" s="4"/>
      <c r="D29" s="5"/>
      <c r="E29" s="5"/>
      <c r="F29" s="5"/>
      <c r="G29" s="5"/>
      <c r="H29" s="6"/>
      <c r="I29" s="5"/>
      <c r="J29" s="14"/>
      <c r="K29" s="6"/>
      <c r="L29" s="59"/>
    </row>
    <row r="30" spans="1:12" x14ac:dyDescent="0.25">
      <c r="A30" s="12"/>
      <c r="B30" s="13"/>
      <c r="C30" s="4"/>
      <c r="D30" s="5"/>
      <c r="E30" s="5"/>
      <c r="F30" s="5"/>
      <c r="G30" s="5"/>
      <c r="H30" s="6"/>
      <c r="I30" s="5"/>
      <c r="J30" s="14"/>
      <c r="K30" s="6"/>
      <c r="L30" s="59"/>
    </row>
    <row r="31" spans="1:12" x14ac:dyDescent="0.25">
      <c r="A31" s="12"/>
      <c r="B31" s="13"/>
      <c r="C31" s="4"/>
      <c r="D31" s="5"/>
      <c r="E31" s="5"/>
      <c r="F31" s="5"/>
      <c r="G31" s="5"/>
      <c r="H31" s="6"/>
      <c r="I31" s="5"/>
      <c r="J31" s="14"/>
      <c r="K31" s="6"/>
      <c r="L31" s="59"/>
    </row>
    <row r="32" spans="1:12" x14ac:dyDescent="0.25">
      <c r="A32" s="12"/>
      <c r="B32" s="13"/>
      <c r="C32" s="4"/>
      <c r="D32" s="5"/>
      <c r="E32" s="5"/>
      <c r="F32" s="5"/>
      <c r="G32" s="5"/>
      <c r="H32" s="6"/>
      <c r="I32" s="5"/>
      <c r="J32" s="14"/>
      <c r="K32" s="6"/>
      <c r="L32" s="59"/>
    </row>
    <row r="33" spans="1:12" x14ac:dyDescent="0.25">
      <c r="A33" s="12"/>
      <c r="B33" s="13"/>
      <c r="C33" s="4"/>
      <c r="D33" s="5"/>
      <c r="E33" s="5"/>
      <c r="F33" s="5"/>
      <c r="G33" s="5"/>
      <c r="H33" s="6"/>
      <c r="I33" s="5"/>
      <c r="J33" s="14"/>
      <c r="K33" s="6"/>
      <c r="L33" s="59"/>
    </row>
    <row r="34" spans="1:12" x14ac:dyDescent="0.25">
      <c r="A34" s="12"/>
      <c r="B34" s="13"/>
      <c r="C34" s="4"/>
      <c r="D34" s="5"/>
      <c r="E34" s="5"/>
      <c r="F34" s="5"/>
      <c r="G34" s="5"/>
      <c r="H34" s="6"/>
      <c r="I34" s="5"/>
      <c r="J34" s="14"/>
      <c r="K34" s="6"/>
      <c r="L34" s="59"/>
    </row>
    <row r="35" spans="1:12" x14ac:dyDescent="0.25">
      <c r="A35" s="16"/>
      <c r="B35" s="13"/>
      <c r="C35" s="17"/>
      <c r="D35" s="18"/>
      <c r="E35" s="18"/>
      <c r="F35" s="18"/>
      <c r="G35" s="18"/>
      <c r="H35" s="19"/>
      <c r="I35" s="18"/>
      <c r="J35" s="20"/>
      <c r="K35" s="19"/>
      <c r="L35" s="60"/>
    </row>
    <row r="36" spans="1:12" x14ac:dyDescent="0.25">
      <c r="A36" s="16"/>
      <c r="B36" s="13"/>
      <c r="C36" s="17"/>
      <c r="D36" s="18"/>
      <c r="E36" s="18"/>
      <c r="F36" s="18"/>
      <c r="G36" s="18"/>
      <c r="H36" s="19"/>
      <c r="I36" s="18"/>
      <c r="J36" s="20"/>
      <c r="K36" s="19"/>
      <c r="L36" s="60"/>
    </row>
    <row r="37" spans="1:12" x14ac:dyDescent="0.25">
      <c r="A37" s="16"/>
      <c r="B37" s="13"/>
      <c r="C37" s="17"/>
      <c r="D37" s="18"/>
      <c r="E37" s="18"/>
      <c r="F37" s="18"/>
      <c r="G37" s="18"/>
      <c r="H37" s="19"/>
      <c r="I37" s="18"/>
      <c r="J37" s="20"/>
      <c r="K37" s="19"/>
      <c r="L37" s="60"/>
    </row>
    <row r="38" spans="1:12" x14ac:dyDescent="0.25">
      <c r="K38"/>
    </row>
    <row r="39" spans="1:12" x14ac:dyDescent="0.25">
      <c r="K39"/>
    </row>
    <row r="40" spans="1:12" x14ac:dyDescent="0.25">
      <c r="K40"/>
    </row>
    <row r="41" spans="1:12" x14ac:dyDescent="0.25">
      <c r="K41"/>
    </row>
    <row r="42" spans="1:12" x14ac:dyDescent="0.25">
      <c r="K42"/>
    </row>
    <row r="43" spans="1:12" x14ac:dyDescent="0.25">
      <c r="K43"/>
    </row>
  </sheetData>
  <phoneticPr fontId="4" type="noConversion"/>
  <dataValidations count="12">
    <dataValidation allowBlank="1" showInputMessage="1" showErrorMessage="1" promptTitle="Onderbouwing" prompt="Geef hier aan waarom deze behoefte er is: welke rol speelt deze in het zorgproces?" sqref="E2" xr:uid="{ECCFB7B9-CCAC-40F8-8C78-B02C6A2C2187}"/>
    <dataValidation allowBlank="1" showInputMessage="1" showErrorMessage="1" promptTitle="Variabiliteit" prompt="Geef aan op welke manieren de informatie-requirement uitgedrukt moet kunnen worden. Is het bv. een exacte tijd, en/of een datum en/of een periode en/of een seizoen?" sqref="F2" xr:uid="{EB6434A3-3352-4E90-9DB4-44D0C1CA0B05}"/>
    <dataValidation allowBlank="1" showInputMessage="1" showErrorMessage="1" promptTitle="Omschrijving" prompt="Geef hier een tekstuele omschrijving van de behoefte die ingevuld wordt met de informatie-requirement. Het gaat hier om: wát is de behoefte precies?" sqref="D2" xr:uid="{77C83827-D5A2-4CBF-8DC1-DA85F8B66495}"/>
    <dataValidation allowBlank="1" showInputMessage="1" showErrorMessage="1" promptTitle="Titel" prompt="Titel waaraan de informatie-requirement te herkennen is" sqref="C2" xr:uid="{36C33CD1-D08C-4ACF-93BD-24A29BB22827}"/>
    <dataValidation allowBlank="1" showInputMessage="1" showErrorMessage="1" promptTitle="Label" prompt="NOG UITWERKEN" sqref="B2" xr:uid="{9CC95A3A-75B4-4A8A-9B0F-5E283B312DE4}"/>
    <dataValidation allowBlank="1" showInputMessage="1" showErrorMessage="1" promptTitle="Aanwezigheid" prompt="Geef aan in welke situaties het element waarmee de informatie-requirement gedekt wordt er zou moeten zijn, en evt. wanneer het afwezig kan zijn" sqref="G2" xr:uid="{6C7A01EF-9C11-471B-83EC-3AC98A7B808A}"/>
    <dataValidation allowBlank="1" showInputMessage="1" showErrorMessage="1" promptTitle="Context voor toepassing" prompt="Geef aan in welke context(en) de informatie-requirement relevant is, zoals specifieke use-cases of toepasselijkheid in het verleden, in het heden en/of in de toekoemst. Het kan zijn dat de scope van het bouwblok beperkt is tot een deel van deze situaties." sqref="H2" xr:uid="{5E75DF60-19C8-4F27-91CB-31906C7AB047}"/>
    <dataValidation allowBlank="1" showInputMessage="1" showErrorMessage="1" promptTitle="Mapbaar op basismodel" prompt="Ja of nee" sqref="J2" xr:uid="{8F13DDE0-E475-4066-9D99-E0199D15579F}"/>
    <dataValidation allowBlank="1" showInputMessage="1" showErrorMessage="1" promptTitle="Opgenomen of niet-opgenomen" prompt="Opgenomen informatiebehoefte of niet-opgenomen informatiebehoefte" sqref="K2" xr:uid="{01FC4252-C3DA-4DF6-BF1B-380B3BD970C6}"/>
    <dataValidation allowBlank="1" showInputMessage="1" showErrorMessage="1" promptTitle="Opmerkingen" prompt="Vrije invulling_x000a_Wordt niet weergegeven in de IG" sqref="L2" xr:uid="{8A57BCC4-E913-4E00-B1AF-934D7F795820}"/>
    <dataValidation allowBlank="1" showInputMessage="1" showErrorMessage="1" promptTitle="Bron" prompt="Geef aan waar de behoefte vandaan komt, bv. een specifieke informatiestandaard of bepaalde zorgrichtlijn. Dit moet geselecteerd worden uit het tabblad bronnen." sqref="I2" xr:uid="{CFCA3822-4A20-4D7B-A5B1-A5A1F5B12902}"/>
    <dataValidation allowBlank="1" showInputMessage="1" showErrorMessage="1" promptTitle="Key" prompt="Identificatie van het informatie-requirement. De key is uniek binnen het bouwblok en bestaat uit de drieletterige bouwblokcode en een 4 cijfers" sqref="A2" xr:uid="{848BF5DC-1262-41D5-BCDA-3AC29B46244F}"/>
  </dataValidation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5AA5FDB9-C141-409F-828D-12CF35C28727}">
          <x14:formula1>
            <xm:f>'Drop down menu''s'!$A$3:$A$4</xm:f>
          </x14:formula1>
          <xm:sqref>J3:J37</xm:sqref>
        </x14:dataValidation>
        <x14:dataValidation type="list" allowBlank="1" showInputMessage="1" showErrorMessage="1" xr:uid="{DD4439A8-D5C9-468B-B8F9-F9D2CAF8DA4C}">
          <x14:formula1>
            <xm:f>'Drop down menu''s'!$A$10:$A$11</xm:f>
          </x14:formula1>
          <xm:sqref>K3:K37</xm:sqref>
        </x14:dataValidation>
        <x14:dataValidation type="list" allowBlank="1" showInputMessage="1" showErrorMessage="1" xr:uid="{9D334C19-D44C-4E07-8455-49D15E07408D}">
          <x14:formula1>
            <xm:f>'Drop down menu''s'!$A$15:$A$16</xm:f>
          </x14:formula1>
          <xm:sqref>B3:B37</xm:sqref>
        </x14:dataValidation>
        <x14:dataValidation type="list" allowBlank="1" showInputMessage="1" showErrorMessage="1" xr:uid="{287CD174-7915-49EC-9227-A59C5553135A}">
          <x14:formula1>
            <xm:f>Bronnen!$A$3:$A$31</xm:f>
          </x14:formula1>
          <xm:sqref>I3:I37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C8AB6-CF9C-417B-8353-2D30EE9FA033}">
  <sheetPr>
    <tabColor rgb="FF6A116A"/>
  </sheetPr>
  <dimension ref="A1:L37"/>
  <sheetViews>
    <sheetView tabSelected="1" workbookViewId="0">
      <pane xSplit="2" ySplit="2" topLeftCell="C3" activePane="bottomRight" state="frozen"/>
      <selection pane="topRight" activeCell="C1" sqref="C1"/>
      <selection pane="bottomLeft" activeCell="A3" sqref="A3"/>
      <selection pane="bottomRight" activeCell="D3" sqref="D3:H3"/>
    </sheetView>
  </sheetViews>
  <sheetFormatPr defaultRowHeight="15" x14ac:dyDescent="0.25"/>
  <cols>
    <col min="1" max="2" width="15.7109375" style="7" customWidth="1"/>
    <col min="3" max="3" width="30.7109375" style="7" customWidth="1"/>
    <col min="4" max="4" width="68.42578125" style="7" customWidth="1"/>
    <col min="5" max="5" width="52.140625" style="7" customWidth="1"/>
    <col min="6" max="7" width="48.7109375" style="7" customWidth="1"/>
    <col min="8" max="10" width="34.42578125" style="7" customWidth="1"/>
    <col min="11" max="11" width="36.85546875" style="8" customWidth="1"/>
    <col min="12" max="12" width="41.42578125" style="7" customWidth="1"/>
    <col min="13" max="16384" width="9.140625" style="7"/>
  </cols>
  <sheetData>
    <row r="1" spans="1:12" ht="191.25" customHeight="1" x14ac:dyDescent="0.25"/>
    <row r="2" spans="1:12" x14ac:dyDescent="0.25">
      <c r="A2" s="9" t="s">
        <v>19</v>
      </c>
      <c r="B2" s="9" t="s">
        <v>68</v>
      </c>
      <c r="C2" s="7" t="s">
        <v>57</v>
      </c>
      <c r="D2" s="7" t="s">
        <v>48</v>
      </c>
      <c r="E2" s="7" t="s">
        <v>56</v>
      </c>
      <c r="F2" s="7" t="s">
        <v>55</v>
      </c>
      <c r="G2" s="7" t="s">
        <v>54</v>
      </c>
      <c r="H2" s="7" t="s">
        <v>53</v>
      </c>
      <c r="I2" s="9" t="s">
        <v>52</v>
      </c>
      <c r="J2" s="10" t="s">
        <v>51</v>
      </c>
      <c r="K2" s="9" t="s">
        <v>64</v>
      </c>
      <c r="L2" s="23" t="s">
        <v>50</v>
      </c>
    </row>
    <row r="3" spans="1:12" x14ac:dyDescent="0.25">
      <c r="A3" s="37" cm="1">
        <f t="array" ref="A3">IFERROR(IF(INDEX(Informatiebehoefte_NL[Key],ROW()-2)="","[Automatic]",INDEX(Informatiebehoefte_NL[Key],ROW()-2)),"[Automatic]")</f>
        <v>1</v>
      </c>
      <c r="B3" s="37" t="str" cm="1">
        <f t="array" ref="B3">IFERROR(IF(INDEX(Informatiebehoefte_NL[EU of NL],ROW()-2)="","[Automatic]",INDEX(Informatiebehoefte_NL[EU of NL],ROW()-2)),"[Automatic]")</f>
        <v>NL</v>
      </c>
      <c r="C3" s="30" t="s">
        <v>142</v>
      </c>
      <c r="D3" s="25" t="s">
        <v>90</v>
      </c>
      <c r="E3" s="25"/>
      <c r="F3" s="25" t="s">
        <v>91</v>
      </c>
      <c r="G3" s="25" t="s">
        <v>92</v>
      </c>
      <c r="H3" s="25"/>
      <c r="I3" s="37" t="str" cm="1">
        <f t="array" ref="I3">IF(IFERROR(INDEX(Informatiebehoefte_NL[Bron],ROW()-2),"")="","[Automatic]",IFERROR(INDEX(Informatiebehoefte_NL[Bron],ROW()-2),""))</f>
        <v>[Automatic]</v>
      </c>
      <c r="J3" s="37" t="str">
        <f>_xlfn.IFNA(VLOOKUP(Informatiebehoefte_NL[[#This Row],[Mapbaar op basismodel]],'Drop down menu''s'!$A$3:$B$4,2,FALSE),"[Automatic]")</f>
        <v>[Automatic]</v>
      </c>
      <c r="K3" s="37" t="str">
        <f>_xlfn.IFNA(VLOOKUP(Informatiebehoefte_NL[[#This Row],[Opgenomen of niet-opgenomen]],'Drop down menu''s'!$A$10:$B$11,2,FALSE),"[Automatic]")</f>
        <v>[Automatic]</v>
      </c>
      <c r="L3" s="31"/>
    </row>
    <row r="4" spans="1:12" x14ac:dyDescent="0.25">
      <c r="A4" s="37" t="str" cm="1">
        <f t="array" ref="A4">IFERROR(IF(INDEX(Informatiebehoefte_NL[Key],ROW()-2)="","[Automatic]",INDEX(Informatiebehoefte_NL[Key],ROW()-2)),"[Automatic]")</f>
        <v>1.1</v>
      </c>
      <c r="B4" s="37" t="str" cm="1">
        <f t="array" ref="B4">IFERROR(IF(INDEX(Informatiebehoefte_NL[EU of NL],ROW()-2)="","[Automatic]",INDEX(Informatiebehoefte_NL[EU of NL],ROW()-2)),"[Automatic]")</f>
        <v>EU</v>
      </c>
      <c r="C4" s="30" t="s">
        <v>94</v>
      </c>
      <c r="D4" s="25"/>
      <c r="E4" s="25"/>
      <c r="F4" s="25"/>
      <c r="G4" s="25"/>
      <c r="H4" s="25"/>
      <c r="I4" s="37" t="str" cm="1">
        <f t="array" ref="I4">IF(IFERROR(INDEX(Informatiebehoefte_NL[Bron],ROW()-2),"")="","[Automatic]",IFERROR(INDEX(Informatiebehoefte_NL[Bron],ROW()-2),""))</f>
        <v>zib2020</v>
      </c>
      <c r="J4" s="37" t="str">
        <f>_xlfn.IFNA(VLOOKUP(Informatiebehoefte_NL[[#This Row],[Mapbaar op basismodel]],'Drop down menu''s'!$A$3:$B$4,2,FALSE),"[Automatic]")</f>
        <v>[Automatic]</v>
      </c>
      <c r="K4" s="37" t="str">
        <f>_xlfn.IFNA(VLOOKUP(Informatiebehoefte_NL[[#This Row],[Opgenomen of niet-opgenomen]],'Drop down menu''s'!$A$10:$B$11,2,FALSE),"[Automatic]")</f>
        <v>[Automatic]</v>
      </c>
      <c r="L4" s="31"/>
    </row>
    <row r="5" spans="1:12" x14ac:dyDescent="0.25">
      <c r="A5" s="37" t="str" cm="1">
        <f t="array" ref="A5">IFERROR(IF(INDEX(Informatiebehoefte_NL[Key],ROW()-2)="","[Automatic]",INDEX(Informatiebehoefte_NL[Key],ROW()-2)),"[Automatic]")</f>
        <v>1.1.1</v>
      </c>
      <c r="B5" s="37" t="str" cm="1">
        <f t="array" ref="B5">IFERROR(IF(INDEX(Informatiebehoefte_NL[EU of NL],ROW()-2)="","[Automatic]",INDEX(Informatiebehoefte_NL[EU of NL],ROW()-2)),"[Automatic]")</f>
        <v>[Automatic]</v>
      </c>
      <c r="C5" s="25" t="s">
        <v>97</v>
      </c>
      <c r="D5" s="25"/>
      <c r="E5" s="25"/>
      <c r="F5" s="25"/>
      <c r="G5" s="25"/>
      <c r="H5" s="25"/>
      <c r="I5" s="37" t="str" cm="1">
        <f t="array" ref="I5">IF(IFERROR(INDEX(Informatiebehoefte_NL[Bron],ROW()-2),"")="","[Automatic]",IFERROR(INDEX(Informatiebehoefte_NL[Bron],ROW()-2),""))</f>
        <v>XtEHR</v>
      </c>
      <c r="J5" s="37" t="str">
        <f>_xlfn.IFNA(VLOOKUP(Informatiebehoefte_NL[[#This Row],[Mapbaar op basismodel]],'Drop down menu''s'!$A$3:$B$4,2,FALSE),"[Automatic]")</f>
        <v>[Automatic]</v>
      </c>
      <c r="K5" s="37" t="str">
        <f>_xlfn.IFNA(VLOOKUP(Informatiebehoefte_NL[[#This Row],[Opgenomen of niet-opgenomen]],'Drop down menu''s'!$A$10:$B$11,2,FALSE),"[Automatic]")</f>
        <v>[Automatic]</v>
      </c>
      <c r="L5" s="31"/>
    </row>
    <row r="6" spans="1:12" x14ac:dyDescent="0.25">
      <c r="A6" s="37" t="str" cm="1">
        <f t="array" ref="A6">IFERROR(IF(INDEX(Informatiebehoefte_NL[Key],ROW()-2)="","[Automatic]",INDEX(Informatiebehoefte_NL[Key],ROW()-2)),"[Automatic]")</f>
        <v>1.1.2</v>
      </c>
      <c r="B6" s="37" t="str" cm="1">
        <f t="array" ref="B6">IFERROR(IF(INDEX(Informatiebehoefte_NL[EU of NL],ROW()-2)="","[Automatic]",INDEX(Informatiebehoefte_NL[EU of NL],ROW()-2)),"[Automatic]")</f>
        <v>[Automatic]</v>
      </c>
      <c r="C6" s="25" t="s">
        <v>100</v>
      </c>
      <c r="D6" s="25"/>
      <c r="E6" s="25"/>
      <c r="F6" s="25"/>
      <c r="G6" s="25"/>
      <c r="H6" s="25"/>
      <c r="I6" s="37" t="str" cm="1">
        <f t="array" ref="I6">IF(IFERROR(INDEX(Informatiebehoefte_NL[Bron],ROW()-2),"")="","[Automatic]",IFERROR(INDEX(Informatiebehoefte_NL[Bron],ROW()-2),""))</f>
        <v>[Automatic]</v>
      </c>
      <c r="J6" s="37" t="str">
        <f>_xlfn.IFNA(VLOOKUP(Informatiebehoefte_NL[[#This Row],[Mapbaar op basismodel]],'Drop down menu''s'!$A$3:$B$4,2,FALSE),"[Automatic]")</f>
        <v>[Automatic]</v>
      </c>
      <c r="K6" s="37" t="str">
        <f>_xlfn.IFNA(VLOOKUP(Informatiebehoefte_NL[[#This Row],[Opgenomen of niet-opgenomen]],'Drop down menu''s'!$A$10:$B$11,2,FALSE),"[Automatic]")</f>
        <v>[Automatic]</v>
      </c>
      <c r="L6" s="31"/>
    </row>
    <row r="7" spans="1:12" x14ac:dyDescent="0.25">
      <c r="A7" s="37" t="str" cm="1">
        <f t="array" ref="A7">IFERROR(IF(INDEX(Informatiebehoefte_NL[Key],ROW()-2)="","[Automatic]",INDEX(Informatiebehoefte_NL[Key],ROW()-2)),"[Automatic]")</f>
        <v>1.1.3</v>
      </c>
      <c r="B7" s="37" t="str" cm="1">
        <f t="array" ref="B7">IFERROR(IF(INDEX(Informatiebehoefte_NL[EU of NL],ROW()-2)="","[Automatic]",INDEX(Informatiebehoefte_NL[EU of NL],ROW()-2)),"[Automatic]")</f>
        <v>[Automatic]</v>
      </c>
      <c r="C7" s="25" t="s">
        <v>105</v>
      </c>
      <c r="D7" s="25"/>
      <c r="E7" s="25"/>
      <c r="F7" s="25"/>
      <c r="G7" s="25"/>
      <c r="H7" s="25"/>
      <c r="I7" s="37" t="str" cm="1">
        <f t="array" ref="I7">IF(IFERROR(INDEX(Informatiebehoefte_NL[Bron],ROW()-2),"")="","[Automatic]",IFERROR(INDEX(Informatiebehoefte_NL[Bron],ROW()-2),""))</f>
        <v>[Automatic]</v>
      </c>
      <c r="J7" s="37" t="str">
        <f>_xlfn.IFNA(VLOOKUP(Informatiebehoefte_NL[[#This Row],[Mapbaar op basismodel]],'Drop down menu''s'!$A$3:$B$4,2,FALSE),"[Automatic]")</f>
        <v>[Automatic]</v>
      </c>
      <c r="K7" s="37" t="str">
        <f>_xlfn.IFNA(VLOOKUP(Informatiebehoefte_NL[[#This Row],[Opgenomen of niet-opgenomen]],'Drop down menu''s'!$A$10:$B$11,2,FALSE),"[Automatic]")</f>
        <v>[Automatic]</v>
      </c>
      <c r="L7" s="31"/>
    </row>
    <row r="8" spans="1:12" x14ac:dyDescent="0.25">
      <c r="A8" s="37" t="str" cm="1">
        <f t="array" ref="A8">IFERROR(IF(INDEX(Informatiebehoefte_NL[Key],ROW()-2)="","[Automatic]",INDEX(Informatiebehoefte_NL[Key],ROW()-2)),"[Automatic]")</f>
        <v>1.2</v>
      </c>
      <c r="B8" s="37" t="str" cm="1">
        <f t="array" ref="B8">IFERROR(IF(INDEX(Informatiebehoefte_NL[EU of NL],ROW()-2)="","[Automatic]",INDEX(Informatiebehoefte_NL[EU of NL],ROW()-2)),"[Automatic]")</f>
        <v>[Automatic]</v>
      </c>
      <c r="C8" s="25" t="s">
        <v>110</v>
      </c>
      <c r="D8" s="25"/>
      <c r="E8" s="25"/>
      <c r="F8" s="25"/>
      <c r="G8" s="25"/>
      <c r="H8" s="25"/>
      <c r="I8" s="37" t="str" cm="1">
        <f t="array" ref="I8">IF(IFERROR(INDEX(Informatiebehoefte_NL[Bron],ROW()-2),"")="","[Automatic]",IFERROR(INDEX(Informatiebehoefte_NL[Bron],ROW()-2),""))</f>
        <v>[Automatic]</v>
      </c>
      <c r="J8" s="37" t="str">
        <f>_xlfn.IFNA(VLOOKUP(Informatiebehoefte_NL[[#This Row],[Mapbaar op basismodel]],'Drop down menu''s'!$A$3:$B$4,2,FALSE),"[Automatic]")</f>
        <v>[Automatic]</v>
      </c>
      <c r="K8" s="37" t="str">
        <f>_xlfn.IFNA(VLOOKUP(Informatiebehoefte_NL[[#This Row],[Opgenomen of niet-opgenomen]],'Drop down menu''s'!$A$10:$B$11,2,FALSE),"[Automatic]")</f>
        <v>[Automatic]</v>
      </c>
      <c r="L8" s="31"/>
    </row>
    <row r="9" spans="1:12" x14ac:dyDescent="0.25">
      <c r="A9" s="37" t="str" cm="1">
        <f t="array" ref="A9">IFERROR(IF(INDEX(Informatiebehoefte_NL[Key],ROW()-2)="","[Automatic]",INDEX(Informatiebehoefte_NL[Key],ROW()-2)),"[Automatic]")</f>
        <v>1.3</v>
      </c>
      <c r="B9" s="37" t="str" cm="1">
        <f t="array" ref="B9">IFERROR(IF(INDEX(Informatiebehoefte_NL[EU of NL],ROW()-2)="","[Automatic]",INDEX(Informatiebehoefte_NL[EU of NL],ROW()-2)),"[Automatic]")</f>
        <v>[Automatic]</v>
      </c>
      <c r="C9" s="25" t="s">
        <v>115</v>
      </c>
      <c r="D9" s="25"/>
      <c r="E9" s="25"/>
      <c r="F9" s="25"/>
      <c r="G9" s="25"/>
      <c r="H9" s="25"/>
      <c r="I9" s="37" t="str" cm="1">
        <f t="array" ref="I9">IF(IFERROR(INDEX(Informatiebehoefte_NL[Bron],ROW()-2),"")="","[Automatic]",IFERROR(INDEX(Informatiebehoefte_NL[Bron],ROW()-2),""))</f>
        <v>[Automatic]</v>
      </c>
      <c r="J9" s="37" t="str">
        <f>_xlfn.IFNA(VLOOKUP(Informatiebehoefte_NL[[#This Row],[Mapbaar op basismodel]],'Drop down menu''s'!$A$3:$B$4,2,FALSE),"[Automatic]")</f>
        <v>[Automatic]</v>
      </c>
      <c r="K9" s="37" t="str">
        <f>_xlfn.IFNA(VLOOKUP(Informatiebehoefte_NL[[#This Row],[Opgenomen of niet-opgenomen]],'Drop down menu''s'!$A$10:$B$11,2,FALSE),"[Automatic]")</f>
        <v>[Automatic]</v>
      </c>
      <c r="L9" s="31"/>
    </row>
    <row r="10" spans="1:12" x14ac:dyDescent="0.25">
      <c r="A10" s="37" t="str" cm="1">
        <f t="array" ref="A10">IFERROR(IF(INDEX(Informatiebehoefte_NL[Key],ROW()-2)="","[Automatic]",INDEX(Informatiebehoefte_NL[Key],ROW()-2)),"[Automatic]")</f>
        <v>1.4</v>
      </c>
      <c r="B10" s="37" t="str" cm="1">
        <f t="array" ref="B10">IFERROR(IF(INDEX(Informatiebehoefte_NL[EU of NL],ROW()-2)="","[Automatic]",INDEX(Informatiebehoefte_NL[EU of NL],ROW()-2)),"[Automatic]")</f>
        <v>[Automatic]</v>
      </c>
      <c r="C10" s="25" t="s">
        <v>120</v>
      </c>
      <c r="D10" s="25"/>
      <c r="E10" s="25"/>
      <c r="F10" s="25"/>
      <c r="G10" s="25"/>
      <c r="H10" s="30"/>
      <c r="I10" s="37" t="str" cm="1">
        <f t="array" ref="I10">IF(IFERROR(INDEX(Informatiebehoefte_NL[Bron],ROW()-2),"")="","[Automatic]",IFERROR(INDEX(Informatiebehoefte_NL[Bron],ROW()-2),""))</f>
        <v>[Automatic]</v>
      </c>
      <c r="J10" s="37" t="str">
        <f>_xlfn.IFNA(VLOOKUP(Informatiebehoefte_NL[[#This Row],[Mapbaar op basismodel]],'Drop down menu''s'!$A$3:$B$4,2,FALSE),"[Automatic]")</f>
        <v>[Automatic]</v>
      </c>
      <c r="K10" s="37" t="str">
        <f>_xlfn.IFNA(VLOOKUP(Informatiebehoefte_NL[[#This Row],[Opgenomen of niet-opgenomen]],'Drop down menu''s'!$A$10:$B$11,2,FALSE),"[Automatic]")</f>
        <v>[Automatic]</v>
      </c>
      <c r="L10" s="31"/>
    </row>
    <row r="11" spans="1:12" x14ac:dyDescent="0.25">
      <c r="A11" s="37" t="str" cm="1">
        <f t="array" ref="A11">IFERROR(IF(INDEX(Informatiebehoefte_NL[Key],ROW()-2)="","[Automatic]",INDEX(Informatiebehoefte_NL[Key],ROW()-2)),"[Automatic]")</f>
        <v>1.5</v>
      </c>
      <c r="B11" s="37" t="str" cm="1">
        <f t="array" ref="B11">IFERROR(IF(INDEX(Informatiebehoefte_NL[EU of NL],ROW()-2)="","[Automatic]",INDEX(Informatiebehoefte_NL[EU of NL],ROW()-2)),"[Automatic]")</f>
        <v>[Automatic]</v>
      </c>
      <c r="C11" s="25" t="s">
        <v>125</v>
      </c>
      <c r="D11" s="25"/>
      <c r="E11" s="25"/>
      <c r="F11" s="25"/>
      <c r="G11" s="25"/>
      <c r="H11" s="25"/>
      <c r="I11" s="37" t="str" cm="1">
        <f t="array" ref="I11">IF(IFERROR(INDEX(Informatiebehoefte_NL[Bron],ROW()-2),"")="","[Automatic]",IFERROR(INDEX(Informatiebehoefte_NL[Bron],ROW()-2),""))</f>
        <v>[Automatic]</v>
      </c>
      <c r="J11" s="37" t="str">
        <f>_xlfn.IFNA(VLOOKUP(Informatiebehoefte_NL[[#This Row],[Mapbaar op basismodel]],'Drop down menu''s'!$A$3:$B$4,2,FALSE),"[Automatic]")</f>
        <v>[Automatic]</v>
      </c>
      <c r="K11" s="37" t="str">
        <f>_xlfn.IFNA(VLOOKUP(Informatiebehoefte_NL[[#This Row],[Opgenomen of niet-opgenomen]],'Drop down menu''s'!$A$10:$B$11,2,FALSE),"[Automatic]")</f>
        <v>[Automatic]</v>
      </c>
      <c r="L11" s="31"/>
    </row>
    <row r="12" spans="1:12" x14ac:dyDescent="0.25">
      <c r="A12" s="37" cm="1">
        <f t="array" ref="A12">IFERROR(IF(INDEX(Informatiebehoefte_NL[Key],ROW()-2)="","[Automatic]",INDEX(Informatiebehoefte_NL[Key],ROW()-2)),"[Automatic]")</f>
        <v>2</v>
      </c>
      <c r="B12" s="37" t="str" cm="1">
        <f t="array" ref="B12">IFERROR(IF(INDEX(Informatiebehoefte_NL[EU of NL],ROW()-2)="","[Automatic]",INDEX(Informatiebehoefte_NL[EU of NL],ROW()-2)),"[Automatic]")</f>
        <v>[Automatic]</v>
      </c>
      <c r="C12" s="25" t="s">
        <v>130</v>
      </c>
      <c r="D12" s="25"/>
      <c r="E12" s="25"/>
      <c r="F12" s="25"/>
      <c r="G12" s="25"/>
      <c r="H12" s="25"/>
      <c r="I12" s="37" t="str" cm="1">
        <f t="array" ref="I12">IF(IFERROR(INDEX(Informatiebehoefte_NL[Bron],ROW()-2),"")="","[Automatic]",IFERROR(INDEX(Informatiebehoefte_NL[Bron],ROW()-2),""))</f>
        <v>[Automatic]</v>
      </c>
      <c r="J12" s="37" t="str">
        <f>_xlfn.IFNA(VLOOKUP(Informatiebehoefte_NL[[#This Row],[Mapbaar op basismodel]],'Drop down menu''s'!$A$3:$B$4,2,FALSE),"[Automatic]")</f>
        <v>[Automatic]</v>
      </c>
      <c r="K12" s="37" t="str">
        <f>_xlfn.IFNA(VLOOKUP(Informatiebehoefte_NL[[#This Row],[Opgenomen of niet-opgenomen]],'Drop down menu''s'!$A$10:$B$11,2,FALSE),"[Automatic]")</f>
        <v>[Automatic]</v>
      </c>
      <c r="L12" s="31"/>
    </row>
    <row r="13" spans="1:12" x14ac:dyDescent="0.25">
      <c r="A13" s="37" t="str" cm="1">
        <f t="array" ref="A13">IFERROR(IF(INDEX(Informatiebehoefte_NL[Key],ROW()-2)="","[Automatic]",INDEX(Informatiebehoefte_NL[Key],ROW()-2)),"[Automatic]")</f>
        <v>[Automatic]</v>
      </c>
      <c r="B13" s="37" t="str" cm="1">
        <f t="array" ref="B13">IFERROR(IF(INDEX(Informatiebehoefte_NL[EU of NL],ROW()-2)="","[Automatic]",INDEX(Informatiebehoefte_NL[EU of NL],ROW()-2)),"[Automatic]")</f>
        <v>[Automatic]</v>
      </c>
      <c r="C13" s="25"/>
      <c r="D13" s="25"/>
      <c r="E13" s="25"/>
      <c r="F13" s="25"/>
      <c r="G13" s="25"/>
      <c r="H13" s="25"/>
      <c r="I13" s="37" t="str" cm="1">
        <f t="array" ref="I13">IF(IFERROR(INDEX(Informatiebehoefte_NL[Bron],ROW()-2),"")="","[Automatic]",IFERROR(INDEX(Informatiebehoefte_NL[Bron],ROW()-2),""))</f>
        <v>[Automatic]</v>
      </c>
      <c r="J13" s="37" t="str">
        <f>_xlfn.IFNA(VLOOKUP(Informatiebehoefte_NL[[#This Row],[Mapbaar op basismodel]],'Drop down menu''s'!$A$3:$B$4,2,FALSE),"[Automatic]")</f>
        <v>[Automatic]</v>
      </c>
      <c r="K13" s="37" t="str">
        <f>_xlfn.IFNA(VLOOKUP(Informatiebehoefte_NL[[#This Row],[Opgenomen of niet-opgenomen]],'Drop down menu''s'!$A$10:$B$11,2,FALSE),"[Automatic]")</f>
        <v>[Automatic]</v>
      </c>
      <c r="L13" s="31"/>
    </row>
    <row r="14" spans="1:12" x14ac:dyDescent="0.25">
      <c r="A14" s="37" t="str" cm="1">
        <f t="array" ref="A14">IFERROR(IF(INDEX(Informatiebehoefte_NL[Key],ROW()-2)="","[Automatic]",INDEX(Informatiebehoefte_NL[Key],ROW()-2)),"[Automatic]")</f>
        <v>[Automatic]</v>
      </c>
      <c r="B14" s="37" t="str" cm="1">
        <f t="array" ref="B14">IFERROR(IF(INDEX(Informatiebehoefte_NL[EU of NL],ROW()-2)="","[Automatic]",INDEX(Informatiebehoefte_NL[EU of NL],ROW()-2)),"[Automatic]")</f>
        <v>[Automatic]</v>
      </c>
      <c r="C14" s="25"/>
      <c r="D14" s="25"/>
      <c r="E14" s="25"/>
      <c r="F14" s="25"/>
      <c r="G14" s="25"/>
      <c r="H14" s="25"/>
      <c r="I14" s="37" t="str" cm="1">
        <f t="array" ref="I14">IF(IFERROR(INDEX(Informatiebehoefte_NL[Bron],ROW()-2),"")="","[Automatic]",IFERROR(INDEX(Informatiebehoefte_NL[Bron],ROW()-2),""))</f>
        <v>[Automatic]</v>
      </c>
      <c r="J14" s="37" t="str">
        <f>_xlfn.IFNA(VLOOKUP(Informatiebehoefte_NL[[#This Row],[Mapbaar op basismodel]],'Drop down menu''s'!$A$3:$B$4,2,FALSE),"[Automatic]")</f>
        <v>[Automatic]</v>
      </c>
      <c r="K14" s="37" t="str">
        <f>_xlfn.IFNA(VLOOKUP(Informatiebehoefte_NL[[#This Row],[Opgenomen of niet-opgenomen]],'Drop down menu''s'!$A$10:$B$11,2,FALSE),"[Automatic]")</f>
        <v>[Automatic]</v>
      </c>
      <c r="L14" s="31"/>
    </row>
    <row r="15" spans="1:12" x14ac:dyDescent="0.25">
      <c r="A15" s="37" t="str" cm="1">
        <f t="array" ref="A15">IFERROR(IF(INDEX(Informatiebehoefte_NL[Key],ROW()-2)="","[Automatic]",INDEX(Informatiebehoefte_NL[Key],ROW()-2)),"[Automatic]")</f>
        <v>[Automatic]</v>
      </c>
      <c r="B15" s="37" t="str" cm="1">
        <f t="array" ref="B15">IFERROR(IF(INDEX(Informatiebehoefte_NL[EU of NL],ROW()-2)="","[Automatic]",INDEX(Informatiebehoefte_NL[EU of NL],ROW()-2)),"[Automatic]")</f>
        <v>[Automatic]</v>
      </c>
      <c r="C15" s="25"/>
      <c r="D15" s="25"/>
      <c r="E15" s="25"/>
      <c r="F15" s="25"/>
      <c r="G15" s="25"/>
      <c r="H15" s="25"/>
      <c r="I15" s="37" t="str" cm="1">
        <f t="array" ref="I15">IF(IFERROR(INDEX(Informatiebehoefte_NL[Bron],ROW()-2),"")="","[Automatic]",IFERROR(INDEX(Informatiebehoefte_NL[Bron],ROW()-2),""))</f>
        <v>[Automatic]</v>
      </c>
      <c r="J15" s="37" t="str">
        <f>_xlfn.IFNA(VLOOKUP(Informatiebehoefte_NL[[#This Row],[Mapbaar op basismodel]],'Drop down menu''s'!$A$3:$B$4,2,FALSE),"[Automatic]")</f>
        <v>[Automatic]</v>
      </c>
      <c r="K15" s="37" t="str">
        <f>_xlfn.IFNA(VLOOKUP(Informatiebehoefte_NL[[#This Row],[Opgenomen of niet-opgenomen]],'Drop down menu''s'!$A$10:$B$11,2,FALSE),"[Automatic]")</f>
        <v>[Automatic]</v>
      </c>
      <c r="L15" s="31"/>
    </row>
    <row r="16" spans="1:12" x14ac:dyDescent="0.25">
      <c r="A16" s="37" t="str" cm="1">
        <f t="array" ref="A16">IFERROR(IF(INDEX(Informatiebehoefte_NL[Key],ROW()-2)="","[Automatic]",INDEX(Informatiebehoefte_NL[Key],ROW()-2)),"[Automatic]")</f>
        <v>[Automatic]</v>
      </c>
      <c r="B16" s="37" t="str" cm="1">
        <f t="array" ref="B16">IFERROR(IF(INDEX(Informatiebehoefte_NL[EU of NL],ROW()-2)="","[Automatic]",INDEX(Informatiebehoefte_NL[EU of NL],ROW()-2)),"[Automatic]")</f>
        <v>[Automatic]</v>
      </c>
      <c r="C16" s="25"/>
      <c r="D16" s="25"/>
      <c r="E16" s="25"/>
      <c r="F16" s="25"/>
      <c r="G16" s="25"/>
      <c r="H16" s="25"/>
      <c r="I16" s="37" t="str" cm="1">
        <f t="array" ref="I16">IF(IFERROR(INDEX(Informatiebehoefte_NL[Bron],ROW()-2),"")="","[Automatic]",IFERROR(INDEX(Informatiebehoefte_NL[Bron],ROW()-2),""))</f>
        <v>[Automatic]</v>
      </c>
      <c r="J16" s="37" t="str">
        <f>_xlfn.IFNA(VLOOKUP(Informatiebehoefte_NL[[#This Row],[Mapbaar op basismodel]],'Drop down menu''s'!$A$3:$B$4,2,FALSE),"[Automatic]")</f>
        <v>[Automatic]</v>
      </c>
      <c r="K16" s="37" t="str">
        <f>_xlfn.IFNA(VLOOKUP(Informatiebehoefte_NL[[#This Row],[Opgenomen of niet-opgenomen]],'Drop down menu''s'!$A$10:$B$11,2,FALSE),"[Automatic]")</f>
        <v>[Automatic]</v>
      </c>
      <c r="L16" s="31"/>
    </row>
    <row r="17" spans="1:12" x14ac:dyDescent="0.25">
      <c r="A17" s="37" t="str" cm="1">
        <f t="array" ref="A17">IFERROR(IF(INDEX(Informatiebehoefte_NL[Key],ROW()-2)="","[Automatic]",INDEX(Informatiebehoefte_NL[Key],ROW()-2)),"[Automatic]")</f>
        <v>[Automatic]</v>
      </c>
      <c r="B17" s="37" t="str" cm="1">
        <f t="array" ref="B17">IFERROR(IF(INDEX(Informatiebehoefte_NL[EU of NL],ROW()-2)="","[Automatic]",INDEX(Informatiebehoefte_NL[EU of NL],ROW()-2)),"[Automatic]")</f>
        <v>[Automatic]</v>
      </c>
      <c r="C17" s="25"/>
      <c r="D17" s="25"/>
      <c r="E17" s="25"/>
      <c r="F17" s="25"/>
      <c r="G17" s="25"/>
      <c r="H17" s="25"/>
      <c r="I17" s="37" t="str" cm="1">
        <f t="array" ref="I17">IF(IFERROR(INDEX(Informatiebehoefte_NL[Bron],ROW()-2),"")="","[Automatic]",IFERROR(INDEX(Informatiebehoefte_NL[Bron],ROW()-2),""))</f>
        <v>[Automatic]</v>
      </c>
      <c r="J17" s="37" t="str">
        <f>_xlfn.IFNA(VLOOKUP(Informatiebehoefte_NL[[#This Row],[Mapbaar op basismodel]],'Drop down menu''s'!$A$3:$B$4,2,FALSE),"[Automatic]")</f>
        <v>[Automatic]</v>
      </c>
      <c r="K17" s="37" t="str">
        <f>_xlfn.IFNA(VLOOKUP(Informatiebehoefte_NL[[#This Row],[Opgenomen of niet-opgenomen]],'Drop down menu''s'!$A$10:$B$11,2,FALSE),"[Automatic]")</f>
        <v>[Automatic]</v>
      </c>
      <c r="L17" s="31"/>
    </row>
    <row r="18" spans="1:12" x14ac:dyDescent="0.25">
      <c r="A18" s="37" t="str" cm="1">
        <f t="array" ref="A18">IFERROR(IF(INDEX(Informatiebehoefte_NL[Key],ROW()-2)="","[Automatic]",INDEX(Informatiebehoefte_NL[Key],ROW()-2)),"[Automatic]")</f>
        <v>[Automatic]</v>
      </c>
      <c r="B18" s="37" t="str" cm="1">
        <f t="array" ref="B18">IFERROR(IF(INDEX(Informatiebehoefte_NL[EU of NL],ROW()-2)="","[Automatic]",INDEX(Informatiebehoefte_NL[EU of NL],ROW()-2)),"[Automatic]")</f>
        <v>[Automatic]</v>
      </c>
      <c r="C18" s="32"/>
      <c r="D18" s="32"/>
      <c r="E18" s="32"/>
      <c r="F18" s="32"/>
      <c r="G18" s="32"/>
      <c r="H18" s="32"/>
      <c r="I18" s="37" t="str" cm="1">
        <f t="array" ref="I18">IF(IFERROR(INDEX(Informatiebehoefte_NL[Bron],ROW()-2),"")="","[Automatic]",IFERROR(INDEX(Informatiebehoefte_NL[Bron],ROW()-2),""))</f>
        <v>[Automatic]</v>
      </c>
      <c r="J18" s="39" t="str">
        <f>_xlfn.IFNA(VLOOKUP(Informatiebehoefte_NL[[#This Row],[Mapbaar op basismodel]],'Drop down menu''s'!$A$3:$B$4,2,FALSE),"[Automatic]")</f>
        <v>[Automatic]</v>
      </c>
      <c r="K18" s="37" t="str">
        <f>_xlfn.IFNA(VLOOKUP(Informatiebehoefte_NL[[#This Row],[Opgenomen of niet-opgenomen]],'Drop down menu''s'!$A$10:$B$11,2,FALSE),"[Automatic]")</f>
        <v>[Automatic]</v>
      </c>
      <c r="L18" s="33"/>
    </row>
    <row r="19" spans="1:12" x14ac:dyDescent="0.25">
      <c r="A19" s="37" t="str" cm="1">
        <f t="array" ref="A19">IFERROR(IF(INDEX(Informatiebehoefte_NL[Key],ROW()-2)="","[Automatic]",INDEX(Informatiebehoefte_NL[Key],ROW()-2)),"[Automatic]")</f>
        <v>[Automatic]</v>
      </c>
      <c r="B19" s="37" t="str" cm="1">
        <f t="array" ref="B19">IFERROR(IF(INDEX(Informatiebehoefte_NL[EU of NL],ROW()-2)="","[Automatic]",INDEX(Informatiebehoefte_NL[EU of NL],ROW()-2)),"[Automatic]")</f>
        <v>[Automatic]</v>
      </c>
      <c r="C19" s="32"/>
      <c r="D19" s="32"/>
      <c r="E19" s="32"/>
      <c r="F19" s="32"/>
      <c r="G19" s="32"/>
      <c r="H19" s="32"/>
      <c r="I19" s="37" t="str" cm="1">
        <f t="array" ref="I19">IF(IFERROR(INDEX(Informatiebehoefte_NL[Bron],ROW()-2),"")="","[Automatic]",IFERROR(INDEX(Informatiebehoefte_NL[Bron],ROW()-2),""))</f>
        <v>[Automatic]</v>
      </c>
      <c r="J19" s="39" t="str">
        <f>_xlfn.IFNA(VLOOKUP(Informatiebehoefte_NL[[#This Row],[Mapbaar op basismodel]],'Drop down menu''s'!$A$3:$B$4,2,FALSE),"[Automatic]")</f>
        <v>[Automatic]</v>
      </c>
      <c r="K19" s="37" t="str">
        <f>_xlfn.IFNA(VLOOKUP(Informatiebehoefte_NL[[#This Row],[Opgenomen of niet-opgenomen]],'Drop down menu''s'!$A$10:$B$11,2,FALSE),"[Automatic]")</f>
        <v>[Automatic]</v>
      </c>
      <c r="L19" s="33"/>
    </row>
    <row r="20" spans="1:12" x14ac:dyDescent="0.25">
      <c r="A20" s="37" t="str" cm="1">
        <f t="array" ref="A20">IFERROR(IF(INDEX(Informatiebehoefte_NL[Key],ROW()-2)="","[Automatic]",INDEX(Informatiebehoefte_NL[Key],ROW()-2)),"[Automatic]")</f>
        <v>[Automatic]</v>
      </c>
      <c r="B20" s="37" t="str" cm="1">
        <f t="array" ref="B20">IFERROR(IF(INDEX(Informatiebehoefte_NL[EU of NL],ROW()-2)="","[Automatic]",INDEX(Informatiebehoefte_NL[EU of NL],ROW()-2)),"[Automatic]")</f>
        <v>[Automatic]</v>
      </c>
      <c r="C20" s="32"/>
      <c r="D20" s="32"/>
      <c r="E20" s="32"/>
      <c r="F20" s="32"/>
      <c r="G20" s="32"/>
      <c r="H20" s="32"/>
      <c r="I20" s="37" t="str" cm="1">
        <f t="array" ref="I20">IF(IFERROR(INDEX(Informatiebehoefte_NL[Bron],ROW()-2),"")="","[Automatic]",IFERROR(INDEX(Informatiebehoefte_NL[Bron],ROW()-2),""))</f>
        <v>[Automatic]</v>
      </c>
      <c r="J20" s="39" t="str">
        <f>_xlfn.IFNA(VLOOKUP(Informatiebehoefte_NL[[#This Row],[Mapbaar op basismodel]],'Drop down menu''s'!$A$3:$B$4,2,FALSE),"[Automatic]")</f>
        <v>[Automatic]</v>
      </c>
      <c r="K20" s="37" t="str">
        <f>_xlfn.IFNA(VLOOKUP(Informatiebehoefte_NL[[#This Row],[Opgenomen of niet-opgenomen]],'Drop down menu''s'!$A$10:$B$11,2,FALSE),"[Automatic]")</f>
        <v>[Automatic]</v>
      </c>
      <c r="L20" s="33"/>
    </row>
    <row r="21" spans="1:12" x14ac:dyDescent="0.25">
      <c r="A21" s="37" t="str" cm="1">
        <f t="array" ref="A21">IFERROR(IF(INDEX(Informatiebehoefte_NL[Key],ROW()-2)="","[Automatic]",INDEX(Informatiebehoefte_NL[Key],ROW()-2)),"[Automatic]")</f>
        <v>[Automatic]</v>
      </c>
      <c r="B21" s="37" t="str" cm="1">
        <f t="array" ref="B21">IFERROR(IF(INDEX(Informatiebehoefte_NL[EU of NL],ROW()-2)="","[Automatic]",INDEX(Informatiebehoefte_NL[EU of NL],ROW()-2)),"[Automatic]")</f>
        <v>[Automatic]</v>
      </c>
      <c r="C21" s="32"/>
      <c r="D21" s="32"/>
      <c r="E21" s="32"/>
      <c r="F21" s="32"/>
      <c r="G21" s="32"/>
      <c r="H21" s="32"/>
      <c r="I21" s="37" t="str" cm="1">
        <f t="array" ref="I21">IF(IFERROR(INDEX(Informatiebehoefte_NL[Bron],ROW()-2),"")="","[Automatic]",IFERROR(INDEX(Informatiebehoefte_NL[Bron],ROW()-2),""))</f>
        <v>[Automatic]</v>
      </c>
      <c r="J21" s="39" t="str">
        <f>_xlfn.IFNA(VLOOKUP(Informatiebehoefte_NL[[#This Row],[Mapbaar op basismodel]],'Drop down menu''s'!$A$3:$B$4,2,FALSE),"[Automatic]")</f>
        <v>[Automatic]</v>
      </c>
      <c r="K21" s="37" t="str">
        <f>_xlfn.IFNA(VLOOKUP(Informatiebehoefte_NL[[#This Row],[Opgenomen of niet-opgenomen]],'Drop down menu''s'!$A$10:$B$11,2,FALSE),"[Automatic]")</f>
        <v>[Automatic]</v>
      </c>
      <c r="L21" s="33"/>
    </row>
    <row r="22" spans="1:12" x14ac:dyDescent="0.25">
      <c r="A22" s="37" t="str" cm="1">
        <f t="array" ref="A22">IFERROR(IF(INDEX(Informatiebehoefte_NL[Key],ROW()-2)="","[Automatic]",INDEX(Informatiebehoefte_NL[Key],ROW()-2)),"[Automatic]")</f>
        <v>[Automatic]</v>
      </c>
      <c r="B22" s="37" t="str" cm="1">
        <f t="array" ref="B22">IFERROR(IF(INDEX(Informatiebehoefte_NL[EU of NL],ROW()-2)="","[Automatic]",INDEX(Informatiebehoefte_NL[EU of NL],ROW()-2)),"[Automatic]")</f>
        <v>[Automatic]</v>
      </c>
      <c r="C22" s="32"/>
      <c r="D22" s="32"/>
      <c r="E22" s="32"/>
      <c r="F22" s="32"/>
      <c r="G22" s="32"/>
      <c r="H22" s="32"/>
      <c r="I22" s="37" t="str" cm="1">
        <f t="array" ref="I22">IF(IFERROR(INDEX(Informatiebehoefte_NL[Bron],ROW()-2),"")="","[Automatic]",IFERROR(INDEX(Informatiebehoefte_NL[Bron],ROW()-2),""))</f>
        <v>[Automatic]</v>
      </c>
      <c r="J22" s="39" t="str">
        <f>_xlfn.IFNA(VLOOKUP(Informatiebehoefte_NL[[#This Row],[Mapbaar op basismodel]],'Drop down menu''s'!$A$3:$B$4,2,FALSE),"[Automatic]")</f>
        <v>[Automatic]</v>
      </c>
      <c r="K22" s="37" t="str">
        <f>_xlfn.IFNA(VLOOKUP(Informatiebehoefte_NL[[#This Row],[Opgenomen of niet-opgenomen]],'Drop down menu''s'!$A$10:$B$11,2,FALSE),"[Automatic]")</f>
        <v>[Automatic]</v>
      </c>
      <c r="L22" s="33"/>
    </row>
    <row r="23" spans="1:12" x14ac:dyDescent="0.25">
      <c r="A23" s="37" t="str" cm="1">
        <f t="array" ref="A23">IFERROR(IF(INDEX(Informatiebehoefte_NL[Key],ROW()-2)="","[Automatic]",INDEX(Informatiebehoefte_NL[Key],ROW()-2)),"[Automatic]")</f>
        <v>[Automatic]</v>
      </c>
      <c r="B23" s="37" t="str" cm="1">
        <f t="array" ref="B23">IFERROR(IF(INDEX(Informatiebehoefte_NL[EU of NL],ROW()-2)="","[Automatic]",INDEX(Informatiebehoefte_NL[EU of NL],ROW()-2)),"[Automatic]")</f>
        <v>[Automatic]</v>
      </c>
      <c r="C23" s="34"/>
      <c r="D23" s="35"/>
      <c r="E23" s="35"/>
      <c r="F23" s="35"/>
      <c r="G23" s="35"/>
      <c r="H23" s="35"/>
      <c r="I23" s="37" t="str" cm="1">
        <f t="array" ref="I23">IF(IFERROR(INDEX(Informatiebehoefte_NL[Bron],ROW()-2),"")="","[Automatic]",IFERROR(INDEX(Informatiebehoefte_NL[Bron],ROW()-2),""))</f>
        <v>[Automatic]</v>
      </c>
      <c r="J23" s="40" t="str">
        <f>_xlfn.IFNA(VLOOKUP(Informatiebehoefte_NL[[#This Row],[Mapbaar op basismodel]],'Drop down menu''s'!$A$3:$B$4,2,FALSE),"[Automatic]")</f>
        <v>[Automatic]</v>
      </c>
      <c r="K23" s="40" t="str">
        <f>_xlfn.IFNA(VLOOKUP(Informatiebehoefte_NL[[#This Row],[Opgenomen of niet-opgenomen]],'Drop down menu''s'!$A$10:$B$11,2,FALSE),"[Automatic]")</f>
        <v>[Automatic]</v>
      </c>
      <c r="L23" s="36"/>
    </row>
    <row r="24" spans="1:12" x14ac:dyDescent="0.25">
      <c r="A24" s="37" t="str" cm="1">
        <f t="array" ref="A24">IFERROR(IF(INDEX(Informatiebehoefte_NL[Key],ROW()-2)="","[Automatic]",INDEX(Informatiebehoefte_NL[Key],ROW()-2)),"[Automatic]")</f>
        <v>[Automatic]</v>
      </c>
      <c r="B24" s="37" t="str" cm="1">
        <f t="array" ref="B24">IFERROR(IF(INDEX(Informatiebehoefte_NL[EU of NL],ROW()-2)="","[Automatic]",INDEX(Informatiebehoefte_NL[EU of NL],ROW()-2)),"[Automatic]")</f>
        <v>[Automatic]</v>
      </c>
      <c r="C24" s="34"/>
      <c r="D24" s="35"/>
      <c r="E24" s="35"/>
      <c r="F24" s="35"/>
      <c r="G24" s="35"/>
      <c r="H24" s="35"/>
      <c r="I24" s="37" t="str" cm="1">
        <f t="array" ref="I24">IF(IFERROR(INDEX(Informatiebehoefte_NL[Bron],ROW()-2),"")="","[Automatic]",IFERROR(INDEX(Informatiebehoefte_NL[Bron],ROW()-2),""))</f>
        <v>[Automatic]</v>
      </c>
      <c r="J24" s="40" t="str">
        <f>_xlfn.IFNA(VLOOKUP(Informatiebehoefte_NL[[#This Row],[Mapbaar op basismodel]],'Drop down menu''s'!$A$3:$B$4,2,FALSE),"[Automatic]")</f>
        <v>[Automatic]</v>
      </c>
      <c r="K24" s="40" t="str">
        <f>_xlfn.IFNA(VLOOKUP(Informatiebehoefte_NL[[#This Row],[Opgenomen of niet-opgenomen]],'Drop down menu''s'!$A$10:$B$11,2,FALSE),"[Automatic]")</f>
        <v>[Automatic]</v>
      </c>
      <c r="L24" s="36"/>
    </row>
    <row r="25" spans="1:12" x14ac:dyDescent="0.25">
      <c r="A25" s="37" t="str" cm="1">
        <f t="array" ref="A25">IFERROR(IF(INDEX(Informatiebehoefte_NL[Key],ROW()-2)="","[Automatic]",INDEX(Informatiebehoefte_NL[Key],ROW()-2)),"[Automatic]")</f>
        <v>[Automatic]</v>
      </c>
      <c r="B25" s="37" t="str" cm="1">
        <f t="array" ref="B25">IFERROR(IF(INDEX(Informatiebehoefte_NL[EU of NL],ROW()-2)="","[Automatic]",INDEX(Informatiebehoefte_NL[EU of NL],ROW()-2)),"[Automatic]")</f>
        <v>[Automatic]</v>
      </c>
      <c r="C25" s="34"/>
      <c r="D25" s="35"/>
      <c r="E25" s="35"/>
      <c r="F25" s="35"/>
      <c r="G25" s="35"/>
      <c r="H25" s="35"/>
      <c r="I25" s="37" t="str" cm="1">
        <f t="array" ref="I25">IF(IFERROR(INDEX(Informatiebehoefte_NL[Bron],ROW()-2),"")="","[Automatic]",IFERROR(INDEX(Informatiebehoefte_NL[Bron],ROW()-2),""))</f>
        <v>[Automatic]</v>
      </c>
      <c r="J25" s="40" t="str">
        <f>_xlfn.IFNA(VLOOKUP(Informatiebehoefte_NL[[#This Row],[Mapbaar op basismodel]],'Drop down menu''s'!$A$3:$B$4,2,FALSE),"[Automatic]")</f>
        <v>[Automatic]</v>
      </c>
      <c r="K25" s="40" t="str">
        <f>_xlfn.IFNA(VLOOKUP(Informatiebehoefte_NL[[#This Row],[Opgenomen of niet-opgenomen]],'Drop down menu''s'!$A$10:$B$11,2,FALSE),"[Automatic]")</f>
        <v>[Automatic]</v>
      </c>
      <c r="L25" s="36"/>
    </row>
    <row r="26" spans="1:12" x14ac:dyDescent="0.25">
      <c r="A26" s="37" t="str" cm="1">
        <f t="array" ref="A26">IFERROR(IF(INDEX(Informatiebehoefte_NL[Key],ROW()-2)="","[Automatic]",INDEX(Informatiebehoefte_NL[Key],ROW()-2)),"[Automatic]")</f>
        <v>[Automatic]</v>
      </c>
      <c r="B26" s="37" t="str" cm="1">
        <f t="array" ref="B26">IFERROR(IF(INDEX(Informatiebehoefte_NL[EU of NL],ROW()-2)="","[Automatic]",INDEX(Informatiebehoefte_NL[EU of NL],ROW()-2)),"[Automatic]")</f>
        <v>[Automatic]</v>
      </c>
      <c r="C26" s="34"/>
      <c r="D26" s="35"/>
      <c r="E26" s="35"/>
      <c r="F26" s="35"/>
      <c r="G26" s="35"/>
      <c r="H26" s="35"/>
      <c r="I26" s="37" t="str" cm="1">
        <f t="array" ref="I26">IF(IFERROR(INDEX(Informatiebehoefte_NL[Bron],ROW()-2),"")="","[Automatic]",IFERROR(INDEX(Informatiebehoefte_NL[Bron],ROW()-2),""))</f>
        <v>[Automatic]</v>
      </c>
      <c r="J26" s="40" t="str">
        <f>_xlfn.IFNA(VLOOKUP(Informatiebehoefte_NL[[#This Row],[Mapbaar op basismodel]],'Drop down menu''s'!$A$3:$B$4,2,FALSE),"[Automatic]")</f>
        <v>[Automatic]</v>
      </c>
      <c r="K26" s="40" t="str">
        <f>_xlfn.IFNA(VLOOKUP(Informatiebehoefte_NL[[#This Row],[Opgenomen of niet-opgenomen]],'Drop down menu''s'!$A$10:$B$11,2,FALSE),"[Automatic]")</f>
        <v>[Automatic]</v>
      </c>
      <c r="L26" s="36"/>
    </row>
    <row r="27" spans="1:12" x14ac:dyDescent="0.25">
      <c r="A27" s="37" t="str" cm="1">
        <f t="array" ref="A27">IFERROR(IF(INDEX(Informatiebehoefte_NL[Key],ROW()-2)="","[Automatic]",INDEX(Informatiebehoefte_NL[Key],ROW()-2)),"[Automatic]")</f>
        <v>[Automatic]</v>
      </c>
      <c r="B27" s="37" t="str" cm="1">
        <f t="array" ref="B27">IFERROR(IF(INDEX(Informatiebehoefte_NL[EU of NL],ROW()-2)="","[Automatic]",INDEX(Informatiebehoefte_NL[EU of NL],ROW()-2)),"[Automatic]")</f>
        <v>[Automatic]</v>
      </c>
      <c r="C27" s="34"/>
      <c r="D27" s="35"/>
      <c r="E27" s="35"/>
      <c r="F27" s="35"/>
      <c r="G27" s="35"/>
      <c r="H27" s="35"/>
      <c r="I27" s="37" t="str" cm="1">
        <f t="array" ref="I27">IF(IFERROR(INDEX(Informatiebehoefte_NL[Bron],ROW()-2),"")="","[Automatic]",IFERROR(INDEX(Informatiebehoefte_NL[Bron],ROW()-2),""))</f>
        <v>[Automatic]</v>
      </c>
      <c r="J27" s="40" t="str">
        <f>_xlfn.IFNA(VLOOKUP(Informatiebehoefte_NL[[#This Row],[Mapbaar op basismodel]],'Drop down menu''s'!$A$3:$B$4,2,FALSE),"[Automatic]")</f>
        <v>[Automatic]</v>
      </c>
      <c r="K27" s="40" t="str">
        <f>_xlfn.IFNA(VLOOKUP(Informatiebehoefte_NL[[#This Row],[Opgenomen of niet-opgenomen]],'Drop down menu''s'!$A$10:$B$11,2,FALSE),"[Automatic]")</f>
        <v>[Automatic]</v>
      </c>
      <c r="L27" s="36"/>
    </row>
    <row r="28" spans="1:12" x14ac:dyDescent="0.25">
      <c r="A28" s="37" t="str" cm="1">
        <f t="array" ref="A28">IFERROR(IF(INDEX(Informatiebehoefte_NL[Key],ROW()-2)="","[Automatic]",INDEX(Informatiebehoefte_NL[Key],ROW()-2)),"[Automatic]")</f>
        <v>[Automatic]</v>
      </c>
      <c r="B28" s="37" t="str" cm="1">
        <f t="array" ref="B28">IFERROR(IF(INDEX(Informatiebehoefte_NL[EU of NL],ROW()-2)="","[Automatic]",INDEX(Informatiebehoefte_NL[EU of NL],ROW()-2)),"[Automatic]")</f>
        <v>[Automatic]</v>
      </c>
      <c r="C28" s="34"/>
      <c r="D28" s="35"/>
      <c r="E28" s="35"/>
      <c r="F28" s="35"/>
      <c r="G28" s="35"/>
      <c r="H28" s="35"/>
      <c r="I28" s="37" t="str" cm="1">
        <f t="array" ref="I28">IF(IFERROR(INDEX(Informatiebehoefte_NL[Bron],ROW()-2),"")="","[Automatic]",IFERROR(INDEX(Informatiebehoefte_NL[Bron],ROW()-2),""))</f>
        <v>[Automatic]</v>
      </c>
      <c r="J28" s="40" t="str">
        <f>_xlfn.IFNA(VLOOKUP(Informatiebehoefte_NL[[#This Row],[Mapbaar op basismodel]],'Drop down menu''s'!$A$3:$B$4,2,FALSE),"[Automatic]")</f>
        <v>[Automatic]</v>
      </c>
      <c r="K28" s="40" t="str">
        <f>_xlfn.IFNA(VLOOKUP(Informatiebehoefte_NL[[#This Row],[Opgenomen of niet-opgenomen]],'Drop down menu''s'!$A$10:$B$11,2,FALSE),"[Automatic]")</f>
        <v>[Automatic]</v>
      </c>
      <c r="L28" s="36"/>
    </row>
    <row r="29" spans="1:12" x14ac:dyDescent="0.25">
      <c r="A29" s="37" t="str" cm="1">
        <f t="array" ref="A29">IFERROR(IF(INDEX(Informatiebehoefte_NL[Key],ROW()-2)="","[Automatic]",INDEX(Informatiebehoefte_NL[Key],ROW()-2)),"[Automatic]")</f>
        <v>[Automatic]</v>
      </c>
      <c r="B29" s="37" t="str" cm="1">
        <f t="array" ref="B29">IFERROR(IF(INDEX(Informatiebehoefte_NL[EU of NL],ROW()-2)="","[Automatic]",INDEX(Informatiebehoefte_NL[EU of NL],ROW()-2)),"[Automatic]")</f>
        <v>[Automatic]</v>
      </c>
      <c r="C29" s="34"/>
      <c r="D29" s="35"/>
      <c r="E29" s="35"/>
      <c r="F29" s="35"/>
      <c r="G29" s="35"/>
      <c r="H29" s="35"/>
      <c r="I29" s="37" t="str" cm="1">
        <f t="array" ref="I29">IF(IFERROR(INDEX(Informatiebehoefte_NL[Bron],ROW()-2),"")="","[Automatic]",IFERROR(INDEX(Informatiebehoefte_NL[Bron],ROW()-2),""))</f>
        <v>[Automatic]</v>
      </c>
      <c r="J29" s="40" t="str">
        <f>_xlfn.IFNA(VLOOKUP(Informatiebehoefte_NL[[#This Row],[Mapbaar op basismodel]],'Drop down menu''s'!$A$3:$B$4,2,FALSE),"[Automatic]")</f>
        <v>[Automatic]</v>
      </c>
      <c r="K29" s="40" t="str">
        <f>_xlfn.IFNA(VLOOKUP(Informatiebehoefte_NL[[#This Row],[Opgenomen of niet-opgenomen]],'Drop down menu''s'!$A$10:$B$11,2,FALSE),"[Automatic]")</f>
        <v>[Automatic]</v>
      </c>
      <c r="L29" s="36"/>
    </row>
    <row r="30" spans="1:12" x14ac:dyDescent="0.25">
      <c r="A30" s="37" t="str" cm="1">
        <f t="array" ref="A30">IFERROR(IF(INDEX(Informatiebehoefte_NL[Key],ROW()-2)="","[Automatic]",INDEX(Informatiebehoefte_NL[Key],ROW()-2)),"[Automatic]")</f>
        <v>[Automatic]</v>
      </c>
      <c r="B30" s="37" t="str" cm="1">
        <f t="array" ref="B30">IFERROR(IF(INDEX(Informatiebehoefte_NL[EU of NL],ROW()-2)="","[Automatic]",INDEX(Informatiebehoefte_NL[EU of NL],ROW()-2)),"[Automatic]")</f>
        <v>[Automatic]</v>
      </c>
      <c r="C30" s="34"/>
      <c r="D30" s="35"/>
      <c r="E30" s="35"/>
      <c r="F30" s="35"/>
      <c r="G30" s="35"/>
      <c r="H30" s="35"/>
      <c r="I30" s="37" t="str" cm="1">
        <f t="array" ref="I30">IF(IFERROR(INDEX(Informatiebehoefte_NL[Bron],ROW()-2),"")="","[Automatic]",IFERROR(INDEX(Informatiebehoefte_NL[Bron],ROW()-2),""))</f>
        <v>[Automatic]</v>
      </c>
      <c r="J30" s="40" t="str">
        <f>_xlfn.IFNA(VLOOKUP(Informatiebehoefte_NL[[#This Row],[Mapbaar op basismodel]],'Drop down menu''s'!$A$3:$B$4,2,FALSE),"[Automatic]")</f>
        <v>[Automatic]</v>
      </c>
      <c r="K30" s="40" t="str">
        <f>_xlfn.IFNA(VLOOKUP(Informatiebehoefte_NL[[#This Row],[Opgenomen of niet-opgenomen]],'Drop down menu''s'!$A$10:$B$11,2,FALSE),"[Automatic]")</f>
        <v>[Automatic]</v>
      </c>
      <c r="L30" s="36"/>
    </row>
    <row r="31" spans="1:12" x14ac:dyDescent="0.25">
      <c r="A31" s="37" t="str" cm="1">
        <f t="array" ref="A31">IFERROR(IF(INDEX(Informatiebehoefte_NL[Key],ROW()-2)="","[Automatic]",INDEX(Informatiebehoefte_NL[Key],ROW()-2)),"[Automatic]")</f>
        <v>[Automatic]</v>
      </c>
      <c r="B31" s="37" t="str" cm="1">
        <f t="array" ref="B31">IFERROR(IF(INDEX(Informatiebehoefte_NL[EU of NL],ROW()-2)="","[Automatic]",INDEX(Informatiebehoefte_NL[EU of NL],ROW()-2)),"[Automatic]")</f>
        <v>[Automatic]</v>
      </c>
      <c r="C31" s="34"/>
      <c r="D31" s="35"/>
      <c r="E31" s="35"/>
      <c r="F31" s="35"/>
      <c r="G31" s="35"/>
      <c r="H31" s="35"/>
      <c r="I31" s="37" t="str" cm="1">
        <f t="array" ref="I31">IF(IFERROR(INDEX(Informatiebehoefte_NL[Bron],ROW()-2),"")="","[Automatic]",IFERROR(INDEX(Informatiebehoefte_NL[Bron],ROW()-2),""))</f>
        <v>[Automatic]</v>
      </c>
      <c r="J31" s="40" t="str">
        <f>_xlfn.IFNA(VLOOKUP(Informatiebehoefte_NL[[#This Row],[Mapbaar op basismodel]],'Drop down menu''s'!$A$3:$B$4,2,FALSE),"[Automatic]")</f>
        <v>[Automatic]</v>
      </c>
      <c r="K31" s="40" t="str">
        <f>_xlfn.IFNA(VLOOKUP(Informatiebehoefte_NL[[#This Row],[Opgenomen of niet-opgenomen]],'Drop down menu''s'!$A$10:$B$11,2,FALSE),"[Automatic]")</f>
        <v>[Automatic]</v>
      </c>
      <c r="L31" s="36"/>
    </row>
    <row r="32" spans="1:12" x14ac:dyDescent="0.25">
      <c r="A32" s="37" t="str" cm="1">
        <f t="array" ref="A32">IFERROR(IF(INDEX(Informatiebehoefte_NL[Key],ROW()-2)="","[Automatic]",INDEX(Informatiebehoefte_NL[Key],ROW()-2)),"[Automatic]")</f>
        <v>[Automatic]</v>
      </c>
      <c r="B32" s="37" t="str" cm="1">
        <f t="array" ref="B32">IFERROR(IF(INDEX(Informatiebehoefte_NL[EU of NL],ROW()-2)="","[Automatic]",INDEX(Informatiebehoefte_NL[EU of NL],ROW()-2)),"[Automatic]")</f>
        <v>[Automatic]</v>
      </c>
      <c r="C32" s="34"/>
      <c r="D32" s="35"/>
      <c r="E32" s="35"/>
      <c r="F32" s="35"/>
      <c r="G32" s="35"/>
      <c r="H32" s="35"/>
      <c r="I32" s="37" t="str" cm="1">
        <f t="array" ref="I32">IF(IFERROR(INDEX(Informatiebehoefte_NL[Bron],ROW()-2),"")="","[Automatic]",IFERROR(INDEX(Informatiebehoefte_NL[Bron],ROW()-2),""))</f>
        <v>[Automatic]</v>
      </c>
      <c r="J32" s="40" t="str">
        <f>_xlfn.IFNA(VLOOKUP(Informatiebehoefte_NL[[#This Row],[Mapbaar op basismodel]],'Drop down menu''s'!$A$3:$B$4,2,FALSE),"[Automatic]")</f>
        <v>[Automatic]</v>
      </c>
      <c r="K32" s="40" t="str">
        <f>_xlfn.IFNA(VLOOKUP(Informatiebehoefte_NL[[#This Row],[Opgenomen of niet-opgenomen]],'Drop down menu''s'!$A$10:$B$11,2,FALSE),"[Automatic]")</f>
        <v>[Automatic]</v>
      </c>
      <c r="L32" s="36"/>
    </row>
    <row r="33" spans="1:12" x14ac:dyDescent="0.25">
      <c r="A33" s="37" t="str" cm="1">
        <f t="array" ref="A33">IFERROR(IF(INDEX(Informatiebehoefte_NL[Key],ROW()-2)="","[Automatic]",INDEX(Informatiebehoefte_NL[Key],ROW()-2)),"[Automatic]")</f>
        <v>[Automatic]</v>
      </c>
      <c r="B33" s="37" t="str" cm="1">
        <f t="array" ref="B33">IFERROR(IF(INDEX(Informatiebehoefte_NL[EU of NL],ROW()-2)="","[Automatic]",INDEX(Informatiebehoefte_NL[EU of NL],ROW()-2)),"[Automatic]")</f>
        <v>[Automatic]</v>
      </c>
      <c r="C33" s="34"/>
      <c r="D33" s="35"/>
      <c r="E33" s="35"/>
      <c r="F33" s="35"/>
      <c r="G33" s="35"/>
      <c r="H33" s="35"/>
      <c r="I33" s="37" t="str" cm="1">
        <f t="array" ref="I33">IF(IFERROR(INDEX(Informatiebehoefte_NL[Bron],ROW()-2),"")="","[Automatic]",IFERROR(INDEX(Informatiebehoefte_NL[Bron],ROW()-2),""))</f>
        <v>[Automatic]</v>
      </c>
      <c r="J33" s="40" t="str">
        <f>_xlfn.IFNA(VLOOKUP(Informatiebehoefte_NL[[#This Row],[Mapbaar op basismodel]],'Drop down menu''s'!$A$3:$B$4,2,FALSE),"[Automatic]")</f>
        <v>[Automatic]</v>
      </c>
      <c r="K33" s="40" t="str">
        <f>_xlfn.IFNA(VLOOKUP(Informatiebehoefte_NL[[#This Row],[Opgenomen of niet-opgenomen]],'Drop down menu''s'!$A$10:$B$11,2,FALSE),"[Automatic]")</f>
        <v>[Automatic]</v>
      </c>
      <c r="L33" s="36"/>
    </row>
    <row r="34" spans="1:12" x14ac:dyDescent="0.25">
      <c r="A34" s="37" t="str" cm="1">
        <f t="array" ref="A34">IFERROR(IF(INDEX(Informatiebehoefte_NL[Key],ROW()-2)="","[Automatic]",INDEX(Informatiebehoefte_NL[Key],ROW()-2)),"[Automatic]")</f>
        <v>[Automatic]</v>
      </c>
      <c r="B34" s="37" t="str" cm="1">
        <f t="array" ref="B34">IFERROR(IF(INDEX(Informatiebehoefte_NL[EU of NL],ROW()-2)="","[Automatic]",INDEX(Informatiebehoefte_NL[EU of NL],ROW()-2)),"[Automatic]")</f>
        <v>[Automatic]</v>
      </c>
      <c r="C34" s="34"/>
      <c r="D34" s="35"/>
      <c r="E34" s="35"/>
      <c r="F34" s="35"/>
      <c r="G34" s="35"/>
      <c r="H34" s="35"/>
      <c r="I34" s="37" t="str" cm="1">
        <f t="array" ref="I34">IF(IFERROR(INDEX(Informatiebehoefte_NL[Bron],ROW()-2),"")="","[Automatic]",IFERROR(INDEX(Informatiebehoefte_NL[Bron],ROW()-2),""))</f>
        <v>[Automatic]</v>
      </c>
      <c r="J34" s="40" t="str">
        <f>_xlfn.IFNA(VLOOKUP(Informatiebehoefte_NL[[#This Row],[Mapbaar op basismodel]],'Drop down menu''s'!$A$3:$B$4,2,FALSE),"[Automatic]")</f>
        <v>[Automatic]</v>
      </c>
      <c r="K34" s="40" t="str">
        <f>_xlfn.IFNA(VLOOKUP(Informatiebehoefte_NL[[#This Row],[Opgenomen of niet-opgenomen]],'Drop down menu''s'!$A$10:$B$11,2,FALSE),"[Automatic]")</f>
        <v>[Automatic]</v>
      </c>
      <c r="L34" s="36"/>
    </row>
    <row r="35" spans="1:12" x14ac:dyDescent="0.25">
      <c r="A35" s="38" t="str" cm="1">
        <f t="array" ref="A35">IFERROR(IF(INDEX(Informatiebehoefte_NL[Key],ROW()-2)="","[Automatic]",INDEX(Informatiebehoefte_NL[Key],ROW()-2)),"[Automatic]")</f>
        <v>[Automatic]</v>
      </c>
      <c r="B35" s="37" t="str" cm="1">
        <f t="array" ref="B35">IFERROR(IF(INDEX(Informatiebehoefte_NL[EU of NL],ROW()-2)="","[Automatic]",INDEX(Informatiebehoefte_NL[EU of NL],ROW()-2)),"[Automatic]")</f>
        <v>[Automatic]</v>
      </c>
      <c r="C35" s="34"/>
      <c r="D35" s="35"/>
      <c r="E35" s="35"/>
      <c r="F35" s="35"/>
      <c r="G35" s="35"/>
      <c r="H35" s="35"/>
      <c r="I35" s="37" t="str" cm="1">
        <f t="array" ref="I35">IF(IFERROR(INDEX(Informatiebehoefte_NL[Bron],ROW()-2),"")="","[Automatic]",IFERROR(INDEX(Informatiebehoefte_NL[Bron],ROW()-2),""))</f>
        <v>[Automatic]</v>
      </c>
      <c r="J35" s="40" t="str">
        <f>_xlfn.IFNA(VLOOKUP(Informatiebehoefte_NL[[#This Row],[Mapbaar op basismodel]],'Drop down menu''s'!$A$3:$B$4,2,FALSE),"[Automatic]")</f>
        <v>[Automatic]</v>
      </c>
      <c r="K35" s="38" t="str">
        <f>_xlfn.IFNA(VLOOKUP(Informatiebehoefte_NL[[#This Row],[Opgenomen of niet-opgenomen]],'Drop down menu''s'!$A$10:$B$11,2,FALSE),"[Automatic]")</f>
        <v>[Automatic]</v>
      </c>
      <c r="L35" s="36"/>
    </row>
    <row r="36" spans="1:12" x14ac:dyDescent="0.25">
      <c r="A36" s="38" t="str" cm="1">
        <f t="array" ref="A36">IFERROR(IF(INDEX(Informatiebehoefte_NL[Key],ROW()-2)="","[Automatic]",INDEX(Informatiebehoefte_NL[Key],ROW()-2)),"[Automatic]")</f>
        <v>[Automatic]</v>
      </c>
      <c r="B36" s="37" t="str" cm="1">
        <f t="array" ref="B36">IFERROR(IF(INDEX(Informatiebehoefte_NL[EU of NL],ROW()-2)="","[Automatic]",INDEX(Informatiebehoefte_NL[EU of NL],ROW()-2)),"[Automatic]")</f>
        <v>[Automatic]</v>
      </c>
      <c r="C36" s="34"/>
      <c r="D36" s="35"/>
      <c r="E36" s="35"/>
      <c r="F36" s="35"/>
      <c r="G36" s="35"/>
      <c r="H36" s="35"/>
      <c r="I36" s="37" t="str" cm="1">
        <f t="array" ref="I36">IF(IFERROR(INDEX(Informatiebehoefte_NL[Bron],ROW()-2),"")="","[Automatic]",IFERROR(INDEX(Informatiebehoefte_NL[Bron],ROW()-2),""))</f>
        <v>[Automatic]</v>
      </c>
      <c r="J36" s="40" t="str">
        <f>_xlfn.IFNA(VLOOKUP(Informatiebehoefte_NL[[#This Row],[Mapbaar op basismodel]],'Drop down menu''s'!$A$3:$B$4,2,FALSE),"[Automatic]")</f>
        <v>[Automatic]</v>
      </c>
      <c r="K36" s="38" t="str">
        <f>_xlfn.IFNA(VLOOKUP(Informatiebehoefte_NL[[#This Row],[Opgenomen of niet-opgenomen]],'Drop down menu''s'!$A$10:$B$11,2,FALSE),"[Automatic]")</f>
        <v>[Automatic]</v>
      </c>
      <c r="L36" s="36"/>
    </row>
    <row r="37" spans="1:12" x14ac:dyDescent="0.25">
      <c r="A37" s="38" t="str" cm="1">
        <f t="array" ref="A37">IFERROR(IF(INDEX(Informatiebehoefte_NL[Key],ROW()-2)="","[Automatic]",INDEX(Informatiebehoefte_NL[Key],ROW()-2)),"[Automatic]")</f>
        <v>[Automatic]</v>
      </c>
      <c r="B37" s="37" t="str" cm="1">
        <f t="array" ref="B37">IFERROR(IF(INDEX(Informatiebehoefte_NL[EU of NL],ROW()-2)="","[Automatic]",INDEX(Informatiebehoefte_NL[EU of NL],ROW()-2)),"[Automatic]")</f>
        <v>[Automatic]</v>
      </c>
      <c r="C37" s="34"/>
      <c r="D37" s="35"/>
      <c r="E37" s="35"/>
      <c r="F37" s="35"/>
      <c r="G37" s="35"/>
      <c r="H37" s="35"/>
      <c r="I37" s="37" t="str" cm="1">
        <f t="array" ref="I37">IF(IFERROR(INDEX(Informatiebehoefte_NL[Bron],ROW()-2),"")="","[Automatic]",IFERROR(INDEX(Informatiebehoefte_NL[Bron],ROW()-2),""))</f>
        <v>[Automatic]</v>
      </c>
      <c r="J37" s="40" t="str">
        <f>_xlfn.IFNA(VLOOKUP(Informatiebehoefte_NL[[#This Row],[Mapbaar op basismodel]],'Drop down menu''s'!$A$3:$B$4,2,FALSE),"[Automatic]")</f>
        <v>[Automatic]</v>
      </c>
      <c r="K37" s="38" t="str">
        <f>_xlfn.IFNA(VLOOKUP(Informatiebehoefte_NL[[#This Row],[Opgenomen of niet-opgenomen]],'Drop down menu''s'!$A$10:$B$11,2,FALSE),"[Automatic]")</f>
        <v>[Automatic]</v>
      </c>
      <c r="L37" s="36"/>
    </row>
  </sheetData>
  <sheetProtection sheet="1" objects="1" scenarios="1" insertColumns="0" insertRows="0" insertHyperlinks="0" deleteRows="0" sort="0"/>
  <dataValidations count="12">
    <dataValidation allowBlank="1" showInputMessage="1" showErrorMessage="1" promptTitle="Key" prompt="Unique identifier for the information requirement within the building block. It consists of the three-letter building-block code followed by four digits." sqref="A2" xr:uid="{00000000-0002-0000-0200-00000B000000}"/>
    <dataValidation allowBlank="1" showInputMessage="1" showErrorMessage="1" promptTitle="Source" prompt="State where the requirement originates, e.g. a specific information standard or clinical guideline. Select the source from the Sources sheet." sqref="I2" xr:uid="{00000000-0002-0000-0200-00000A000000}"/>
    <dataValidation allowBlank="1" showInputMessage="1" showErrorMessage="1" promptTitle="Comments" prompt="Free text. Not displayed in the implementation guide." sqref="L2" xr:uid="{00000000-0002-0000-0200-000009000000}"/>
    <dataValidation allowBlank="1" showInputMessage="1" showErrorMessage="1" promptTitle="Included or excluded requirement" prompt="Select Included information-requirements or Excluded information-requirements." sqref="K2" xr:uid="{00000000-0002-0000-0200-000008000000}"/>
    <dataValidation allowBlank="1" showInputMessage="1" showErrorMessage="1" promptTitle="Mappable to base model" prompt="Select Yes or No." sqref="J2" xr:uid="{00000000-0002-0000-0200-000007000000}"/>
    <dataValidation allowBlank="1" showInputMessage="1" showErrorMessage="1" promptTitle="Context for use" prompt="Describe the contexts in which the information requirement is relevant, such as specific use cases or applicability in the past, present, and/or future. The building block may cover only some of these contexts." sqref="H2" xr:uid="{00000000-0002-0000-0200-000006000000}"/>
    <dataValidation allowBlank="1" showInputMessage="1" showErrorMessage="1" promptTitle="Presence" prompt="State when the element that satisfies the information requirement should be present and, where applicable, when it may be absent." sqref="G2" xr:uid="{00000000-0002-0000-0200-000005000000}"/>
    <dataValidation allowBlank="1" showInputMessage="1" showErrorMessage="1" promptTitle="Label" prompt="TO BE DEFINED" sqref="B2" xr:uid="{00000000-0002-0000-0200-000004000000}"/>
    <dataValidation allowBlank="1" showInputMessage="1" showErrorMessage="1" promptTitle="Title" prompt="A title by which the information requirement can be recognized." sqref="C2" xr:uid="{00000000-0002-0000-0200-000003000000}"/>
    <dataValidation allowBlank="1" showInputMessage="1" showErrorMessage="1" promptTitle="Description" prompt="Provide a textual description of the need addressed by the information requirement. Specify exactly what information is required." sqref="D2" xr:uid="{00000000-0002-0000-0200-000002000000}"/>
    <dataValidation allowBlank="1" showInputMessage="1" showErrorMessage="1" promptTitle="Variability" prompt="Describe the ways in which the information requirement must be expressible—for example, an exact time, a date, a period, and/or a season." sqref="F2" xr:uid="{00000000-0002-0000-0200-000001000000}"/>
    <dataValidation allowBlank="1" showInputMessage="1" showErrorMessage="1" promptTitle="Rationale" prompt="Explain why this requirement exists and what role it plays in the care process." sqref="E2" xr:uid="{00000000-0002-0000-0200-000000000000}"/>
  </dataValidation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375F-9041-44C1-9BE0-D55D0AD86456}">
  <sheetPr>
    <tabColor rgb="FF6A116A"/>
  </sheetPr>
  <dimension ref="A1:E31"/>
  <sheetViews>
    <sheetView workbookViewId="0">
      <pane xSplit="2" ySplit="2" topLeftCell="C3" activePane="bottomRight" state="frozen"/>
      <selection pane="topRight" activeCell="C1" sqref="C1"/>
      <selection pane="bottomLeft" activeCell="A3" sqref="A3"/>
      <selection pane="bottomRight" activeCell="A4" sqref="A4"/>
    </sheetView>
  </sheetViews>
  <sheetFormatPr defaultRowHeight="15" x14ac:dyDescent="0.25"/>
  <cols>
    <col min="1" max="1" width="38.42578125" customWidth="1"/>
    <col min="2" max="2" width="57" customWidth="1"/>
    <col min="3" max="3" width="29.28515625" customWidth="1"/>
    <col min="4" max="4" width="42.42578125" customWidth="1"/>
    <col min="5" max="5" width="43.42578125" customWidth="1"/>
    <col min="6" max="8" width="9.85546875" customWidth="1"/>
    <col min="9" max="14" width="10.85546875" customWidth="1"/>
  </cols>
  <sheetData>
    <row r="1" spans="1:5" ht="147.75" customHeight="1" x14ac:dyDescent="0.25"/>
    <row r="2" spans="1:5" x14ac:dyDescent="0.25">
      <c r="A2" t="s">
        <v>75</v>
      </c>
      <c r="B2" t="s">
        <v>74</v>
      </c>
      <c r="C2" t="s">
        <v>76</v>
      </c>
      <c r="D2" t="s">
        <v>77</v>
      </c>
      <c r="E2" s="21" t="s">
        <v>73</v>
      </c>
    </row>
    <row r="3" spans="1:5" x14ac:dyDescent="0.25">
      <c r="A3" t="s">
        <v>134</v>
      </c>
      <c r="B3" t="s">
        <v>135</v>
      </c>
      <c r="C3" t="s">
        <v>136</v>
      </c>
      <c r="D3" t="s">
        <v>137</v>
      </c>
      <c r="E3" s="22"/>
    </row>
    <row r="4" spans="1:5" x14ac:dyDescent="0.25">
      <c r="A4" t="s">
        <v>139</v>
      </c>
      <c r="B4" t="s">
        <v>138</v>
      </c>
      <c r="C4" t="s">
        <v>140</v>
      </c>
      <c r="D4" t="s">
        <v>141</v>
      </c>
      <c r="E4" s="22"/>
    </row>
    <row r="5" spans="1:5" x14ac:dyDescent="0.25">
      <c r="E5" s="22"/>
    </row>
    <row r="6" spans="1:5" x14ac:dyDescent="0.25">
      <c r="E6" s="22"/>
    </row>
    <row r="7" spans="1:5" x14ac:dyDescent="0.25">
      <c r="E7" s="22"/>
    </row>
    <row r="8" spans="1:5" x14ac:dyDescent="0.25">
      <c r="E8" s="22"/>
    </row>
    <row r="9" spans="1:5" x14ac:dyDescent="0.25">
      <c r="E9" s="22"/>
    </row>
    <row r="10" spans="1:5" x14ac:dyDescent="0.25">
      <c r="E10" s="22"/>
    </row>
    <row r="11" spans="1:5" x14ac:dyDescent="0.25">
      <c r="E11" s="22"/>
    </row>
    <row r="12" spans="1:5" x14ac:dyDescent="0.25">
      <c r="E12" s="22"/>
    </row>
    <row r="13" spans="1:5" x14ac:dyDescent="0.25">
      <c r="E13" s="22"/>
    </row>
    <row r="14" spans="1:5" x14ac:dyDescent="0.25">
      <c r="E14" s="22"/>
    </row>
    <row r="15" spans="1:5" x14ac:dyDescent="0.25">
      <c r="E15" s="22"/>
    </row>
    <row r="16" spans="1:5" x14ac:dyDescent="0.25">
      <c r="E16" s="22"/>
    </row>
    <row r="17" spans="5:5" x14ac:dyDescent="0.25">
      <c r="E17" s="22"/>
    </row>
    <row r="18" spans="5:5" x14ac:dyDescent="0.25">
      <c r="E18" s="22"/>
    </row>
    <row r="19" spans="5:5" x14ac:dyDescent="0.25">
      <c r="E19" s="22"/>
    </row>
    <row r="20" spans="5:5" x14ac:dyDescent="0.25">
      <c r="E20" s="22"/>
    </row>
    <row r="21" spans="5:5" x14ac:dyDescent="0.25">
      <c r="E21" s="22"/>
    </row>
    <row r="22" spans="5:5" x14ac:dyDescent="0.25">
      <c r="E22" s="22"/>
    </row>
    <row r="23" spans="5:5" x14ac:dyDescent="0.25">
      <c r="E23" s="22"/>
    </row>
    <row r="24" spans="5:5" x14ac:dyDescent="0.25">
      <c r="E24" s="22"/>
    </row>
    <row r="25" spans="5:5" x14ac:dyDescent="0.25">
      <c r="E25" s="22"/>
    </row>
    <row r="26" spans="5:5" x14ac:dyDescent="0.25">
      <c r="E26" s="22"/>
    </row>
    <row r="27" spans="5:5" x14ac:dyDescent="0.25">
      <c r="E27" s="22"/>
    </row>
    <row r="28" spans="5:5" x14ac:dyDescent="0.25">
      <c r="E28" s="22"/>
    </row>
    <row r="29" spans="5:5" x14ac:dyDescent="0.25">
      <c r="E29" s="22"/>
    </row>
    <row r="30" spans="5:5" x14ac:dyDescent="0.25">
      <c r="E30" s="22"/>
    </row>
    <row r="31" spans="5:5" x14ac:dyDescent="0.25">
      <c r="E31" s="22"/>
    </row>
  </sheetData>
  <phoneticPr fontId="4" type="noConversion"/>
  <dataValidations count="1">
    <dataValidation allowBlank="1" showInputMessage="1" showErrorMessage="1" promptTitle="Afkorting" prompt="Afkorting om te gebruiken in de informatiebehoefte. _x000a_Format voor modellen: Naam van standaard + versienummer (alleen major) (optioneel: + kenmerk, bijvoorbeeld modelnaam)_x000a_Voorbeelden:_x000a_FHIR_R4_x000a_Zib_2017_x000a_OpenEHR.org" sqref="A2" xr:uid="{20A6F823-6DE4-4BBA-B152-DFDACE1DA770}"/>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2CC5-16DC-4DA4-8C40-918AE04F5FC9}">
  <sheetPr>
    <tabColor theme="1" tint="0.499984740745262"/>
  </sheetPr>
  <dimension ref="A1:J3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RowHeight="15" x14ac:dyDescent="0.25"/>
  <cols>
    <col min="1" max="4" width="40.7109375" style="41" customWidth="1"/>
    <col min="5" max="8" width="9.85546875" style="41" customWidth="1"/>
    <col min="9" max="16384" width="9.140625" style="41"/>
  </cols>
  <sheetData>
    <row r="1" spans="1:10" ht="168.75" customHeight="1" x14ac:dyDescent="0.25"/>
    <row r="2" spans="1:10" x14ac:dyDescent="0.25">
      <c r="A2" s="42" t="s">
        <v>71</v>
      </c>
      <c r="B2" s="42" t="s">
        <v>72</v>
      </c>
      <c r="C2" s="43" t="s">
        <v>12</v>
      </c>
      <c r="D2" s="43" t="s">
        <v>13</v>
      </c>
      <c r="E2" s="43" t="s">
        <v>32</v>
      </c>
      <c r="F2" s="43" t="s">
        <v>33</v>
      </c>
      <c r="G2" s="43" t="s">
        <v>34</v>
      </c>
      <c r="H2" s="43" t="s">
        <v>35</v>
      </c>
      <c r="I2" s="43" t="s">
        <v>36</v>
      </c>
      <c r="J2" s="43" t="s">
        <v>37</v>
      </c>
    </row>
    <row r="3" spans="1:10" x14ac:dyDescent="0.25">
      <c r="A3" s="13" t="str" cm="1">
        <f t="array" ref="A3">IFERROR(IF(INDEX(Informatiebehoefte_NL[Titel],ROW()-2)="","[Automatic]",INDEX(Informatiebehoefte_NL[Titel],ROW()-2)),"[Automatic]")</f>
        <v>Datum en tijd</v>
      </c>
      <c r="B3" s="13" t="str" cm="1">
        <f t="array" ref="B3">IFERROR(IF(INDEX(Informatiebehoefte_ENG[Title],ROW()-2)="","[Automatic]",INDEX(Informatiebehoefte_ENG[Title],ROW()-2)),"[Automatic]")</f>
        <v>Date and time</v>
      </c>
      <c r="C3" s="44"/>
      <c r="D3" s="44"/>
      <c r="E3" s="44"/>
      <c r="F3" s="44"/>
      <c r="G3" s="44"/>
      <c r="H3" s="44"/>
      <c r="I3" s="44"/>
      <c r="J3" s="44"/>
    </row>
    <row r="4" spans="1:10" x14ac:dyDescent="0.25">
      <c r="A4" s="13" t="str" cm="1">
        <f t="array" ref="A4">IFERROR(IF(INDEX(Informatiebehoefte_NL[Titel],ROW()-2)="","[Automatic]",INDEX(Informatiebehoefte_NL[Titel],ROW()-2)),"[Automatic]")</f>
        <v>Datum en tijd van uitgevoerde verrichting</v>
      </c>
      <c r="B4" s="13" t="str" cm="1">
        <f t="array" ref="B4">IFERROR(IF(INDEX(Informatiebehoefte_ENG[Title],ROW()-2)="","[Automatic]",INDEX(Informatiebehoefte_ENG[Title],ROW()-2)),"[Automatic]")</f>
        <v>Datum en tijd van uitgevoerde verrichting</v>
      </c>
      <c r="C4" s="44"/>
      <c r="D4" s="44"/>
      <c r="E4" s="44"/>
      <c r="F4" s="44"/>
      <c r="G4" s="44"/>
      <c r="H4" s="44"/>
      <c r="I4" s="44"/>
      <c r="J4" s="44"/>
    </row>
    <row r="5" spans="1:10" x14ac:dyDescent="0.25">
      <c r="A5" s="13" t="str" cm="1">
        <f t="array" ref="A5">IFERROR(IF(INDEX(Informatiebehoefte_NL[Titel],ROW()-2)="","[Automatic]",INDEX(Informatiebehoefte_NL[Titel],ROW()-2)),"[Automatic]")</f>
        <v>Datum/tijd uitvoering</v>
      </c>
      <c r="B5" s="13" t="str" cm="1">
        <f t="array" ref="B5">IFERROR(IF(INDEX(Informatiebehoefte_ENG[Title],ROW()-2)="","[Automatic]",INDEX(Informatiebehoefte_ENG[Title],ROW()-2)),"[Automatic]")</f>
        <v>Datum/tijd uitvoering</v>
      </c>
      <c r="C5" s="44"/>
      <c r="D5" s="44"/>
      <c r="E5" s="44"/>
      <c r="F5" s="44"/>
      <c r="G5" s="44"/>
      <c r="H5" s="44"/>
      <c r="I5" s="44"/>
      <c r="J5" s="44"/>
    </row>
    <row r="6" spans="1:10" x14ac:dyDescent="0.25">
      <c r="A6" s="13" t="str" cm="1">
        <f t="array" ref="A6">IFERROR(IF(INDEX(Informatiebehoefte_NL[Titel],ROW()-2)="","[Automatic]",INDEX(Informatiebehoefte_NL[Titel],ROW()-2)),"[Automatic]")</f>
        <v>Periode uitvoering</v>
      </c>
      <c r="B6" s="13" t="str" cm="1">
        <f t="array" ref="B6">IFERROR(IF(INDEX(Informatiebehoefte_ENG[Title],ROW()-2)="","[Automatic]",INDEX(Informatiebehoefte_ENG[Title],ROW()-2)),"[Automatic]")</f>
        <v>Periode uitvoering</v>
      </c>
      <c r="C6" s="44"/>
      <c r="D6" s="44"/>
      <c r="E6" s="44"/>
      <c r="F6" s="44"/>
      <c r="G6" s="44"/>
      <c r="H6" s="44"/>
      <c r="I6" s="44"/>
      <c r="J6" s="44"/>
    </row>
    <row r="7" spans="1:10" x14ac:dyDescent="0.25">
      <c r="A7" s="13" t="str" cm="1">
        <f t="array" ref="A7">IFERROR(IF(INDEX(Informatiebehoefte_NL[Titel],ROW()-2)="","[Automatic]",INDEX(Informatiebehoefte_NL[Titel],ROW()-2)),"[Automatic]")</f>
        <v>Einddatum</v>
      </c>
      <c r="B7" s="13" t="str" cm="1">
        <f t="array" ref="B7">IFERROR(IF(INDEX(Informatiebehoefte_ENG[Title],ROW()-2)="","[Automatic]",INDEX(Informatiebehoefte_ENG[Title],ROW()-2)),"[Automatic]")</f>
        <v>Einddatum</v>
      </c>
      <c r="C7" s="44"/>
      <c r="D7" s="44"/>
      <c r="E7" s="44"/>
      <c r="F7" s="44"/>
      <c r="G7" s="44"/>
      <c r="H7" s="44"/>
      <c r="I7" s="44"/>
      <c r="J7" s="44"/>
    </row>
    <row r="8" spans="1:10" x14ac:dyDescent="0.25">
      <c r="A8" s="13" t="str" cm="1">
        <f t="array" ref="A8">IFERROR(IF(INDEX(Informatiebehoefte_NL[Titel],ROW()-2)="","[Automatic]",INDEX(Informatiebehoefte_NL[Titel],ROW()-2)),"[Automatic]")</f>
        <v>Datum en tijd van gestarte verrichting die nog niet is afgerond</v>
      </c>
      <c r="B8" s="13" t="str" cm="1">
        <f t="array" ref="B8">IFERROR(IF(INDEX(Informatiebehoefte_ENG[Title],ROW()-2)="","[Automatic]",INDEX(Informatiebehoefte_ENG[Title],ROW()-2)),"[Automatic]")</f>
        <v>Datum en tijd van gestarte verrichting die nog niet is afgerond</v>
      </c>
      <c r="C8" s="44"/>
      <c r="D8" s="44"/>
      <c r="E8" s="44"/>
      <c r="F8" s="44"/>
      <c r="G8" s="44"/>
      <c r="H8" s="44"/>
      <c r="I8" s="44"/>
      <c r="J8" s="44"/>
    </row>
    <row r="9" spans="1:10" x14ac:dyDescent="0.25">
      <c r="A9" s="13" t="str" cm="1">
        <f t="array" ref="A9">IFERROR(IF(INDEX(Informatiebehoefte_NL[Titel],ROW()-2)="","[Automatic]",INDEX(Informatiebehoefte_NL[Titel],ROW()-2)),"[Automatic]")</f>
        <v>Geplande startdatum/tijd</v>
      </c>
      <c r="B9" s="13" t="str" cm="1">
        <f t="array" ref="B9">IFERROR(IF(INDEX(Informatiebehoefte_ENG[Title],ROW()-2)="","[Automatic]",INDEX(Informatiebehoefte_ENG[Title],ROW()-2)),"[Automatic]")</f>
        <v>Geplande startdatum/tijd</v>
      </c>
      <c r="C9" s="44"/>
      <c r="D9" s="44"/>
      <c r="E9" s="44"/>
      <c r="F9" s="44"/>
      <c r="G9" s="44"/>
      <c r="H9" s="44"/>
      <c r="I9" s="44"/>
      <c r="J9" s="44"/>
    </row>
    <row r="10" spans="1:10" x14ac:dyDescent="0.25">
      <c r="A10" s="13" t="str" cm="1">
        <f t="array" ref="A10">IFERROR(IF(INDEX(Informatiebehoefte_NL[Titel],ROW()-2)="","[Automatic]",INDEX(Informatiebehoefte_NL[Titel],ROW()-2)),"[Automatic]")</f>
        <v>Gewenste datum/tijd</v>
      </c>
      <c r="B10" s="13" t="str" cm="1">
        <f t="array" ref="B10">IFERROR(IF(INDEX(Informatiebehoefte_ENG[Title],ROW()-2)="","[Automatic]",INDEX(Informatiebehoefte_ENG[Title],ROW()-2)),"[Automatic]")</f>
        <v>Gewenste datum/tijd</v>
      </c>
      <c r="C10" s="44"/>
      <c r="D10" s="44"/>
      <c r="E10" s="44"/>
      <c r="F10" s="44"/>
      <c r="G10" s="44"/>
      <c r="H10" s="44"/>
      <c r="I10" s="44"/>
      <c r="J10" s="44"/>
    </row>
    <row r="11" spans="1:10" x14ac:dyDescent="0.25">
      <c r="A11" s="13" t="str" cm="1">
        <f t="array" ref="A11">IFERROR(IF(INDEX(Informatiebehoefte_NL[Titel],ROW()-2)="","[Automatic]",INDEX(Informatiebehoefte_NL[Titel],ROW()-2)),"[Automatic]")</f>
        <v>Time</v>
      </c>
      <c r="B11" s="13" t="str" cm="1">
        <f t="array" ref="B11">IFERROR(IF(INDEX(Informatiebehoefte_ENG[Title],ROW()-2)="","[Automatic]",INDEX(Informatiebehoefte_ENG[Title],ROW()-2)),"[Automatic]")</f>
        <v>Time</v>
      </c>
      <c r="C11" s="44"/>
      <c r="D11" s="44"/>
      <c r="E11" s="44"/>
      <c r="F11" s="44"/>
      <c r="G11" s="44"/>
      <c r="H11" s="44"/>
      <c r="I11" s="44"/>
      <c r="J11" s="44"/>
    </row>
    <row r="12" spans="1:10" x14ac:dyDescent="0.25">
      <c r="A12" s="13" t="str" cm="1">
        <f t="array" ref="A12">IFERROR(IF(INDEX(Informatiebehoefte_NL[Titel],ROW()-2)="","[Automatic]",INDEX(Informatiebehoefte_NL[Titel],ROW()-2)),"[Automatic]")</f>
        <v>Interval</v>
      </c>
      <c r="B12" s="13" t="str" cm="1">
        <f t="array" ref="B12">IFERROR(IF(INDEX(Informatiebehoefte_ENG[Title],ROW()-2)="","[Automatic]",INDEX(Informatiebehoefte_ENG[Title],ROW()-2)),"[Automatic]")</f>
        <v>Interval</v>
      </c>
      <c r="C12" s="44"/>
      <c r="D12" s="44"/>
      <c r="E12" s="44"/>
      <c r="F12" s="44"/>
      <c r="G12" s="44"/>
      <c r="H12" s="44"/>
      <c r="I12" s="44"/>
      <c r="J12" s="44"/>
    </row>
    <row r="13" spans="1:10" x14ac:dyDescent="0.25">
      <c r="A13" s="13" t="str" cm="1">
        <f t="array" ref="A13">IFERROR(IF(INDEX(Informatiebehoefte_NL[Titel],ROW()-2)="","[Automatic]",INDEX(Informatiebehoefte_NL[Titel],ROW()-2)),"[Automatic]")</f>
        <v>[Automatic]</v>
      </c>
      <c r="B13" s="13" t="str" cm="1">
        <f t="array" ref="B13">IFERROR(IF(INDEX(Informatiebehoefte_ENG[Title],ROW()-2)="","[Automatic]",INDEX(Informatiebehoefte_ENG[Title],ROW()-2)),"[Automatic]")</f>
        <v>[Automatic]</v>
      </c>
      <c r="C13" s="44"/>
      <c r="D13" s="44"/>
      <c r="E13" s="44"/>
      <c r="F13" s="44"/>
      <c r="G13" s="44"/>
      <c r="H13" s="44"/>
      <c r="I13" s="44"/>
      <c r="J13" s="44"/>
    </row>
    <row r="14" spans="1:10" x14ac:dyDescent="0.25">
      <c r="A14" s="13" t="str" cm="1">
        <f t="array" ref="A14">IFERROR(IF(INDEX(Informatiebehoefte_NL[Titel],ROW()-2)="","[Automatic]",INDEX(Informatiebehoefte_NL[Titel],ROW()-2)),"[Automatic]")</f>
        <v>[Automatic]</v>
      </c>
      <c r="B14" s="13" t="str" cm="1">
        <f t="array" ref="B14">IFERROR(IF(INDEX(Informatiebehoefte_ENG[Title],ROW()-2)="","[Automatic]",INDEX(Informatiebehoefte_ENG[Title],ROW()-2)),"[Automatic]")</f>
        <v>[Automatic]</v>
      </c>
      <c r="C14" s="44"/>
      <c r="D14" s="44"/>
      <c r="E14" s="44"/>
      <c r="F14" s="44"/>
      <c r="G14" s="44"/>
      <c r="H14" s="44"/>
      <c r="I14" s="44"/>
      <c r="J14" s="44"/>
    </row>
    <row r="15" spans="1:10" x14ac:dyDescent="0.25">
      <c r="A15" s="13" t="str" cm="1">
        <f t="array" ref="A15">IFERROR(IF(INDEX(Informatiebehoefte_NL[Titel],ROW()-2)="","[Automatic]",INDEX(Informatiebehoefte_NL[Titel],ROW()-2)),"[Automatic]")</f>
        <v>[Automatic]</v>
      </c>
      <c r="B15" s="13" t="str" cm="1">
        <f t="array" ref="B15">IFERROR(IF(INDEX(Informatiebehoefte_ENG[Title],ROW()-2)="","[Automatic]",INDEX(Informatiebehoefte_ENG[Title],ROW()-2)),"[Automatic]")</f>
        <v>[Automatic]</v>
      </c>
      <c r="C15" s="44"/>
      <c r="D15" s="44"/>
      <c r="E15" s="44"/>
      <c r="F15" s="44"/>
      <c r="G15" s="44"/>
      <c r="H15" s="44"/>
      <c r="I15" s="44"/>
      <c r="J15" s="44"/>
    </row>
    <row r="16" spans="1:10" x14ac:dyDescent="0.25">
      <c r="A16" s="13" t="str" cm="1">
        <f t="array" ref="A16">IFERROR(IF(INDEX(Informatiebehoefte_NL[Titel],ROW()-2)="","[Automatic]",INDEX(Informatiebehoefte_NL[Titel],ROW()-2)),"[Automatic]")</f>
        <v>[Automatic]</v>
      </c>
      <c r="B16" s="13" t="str" cm="1">
        <f t="array" ref="B16">IFERROR(IF(INDEX(Informatiebehoefte_ENG[Title],ROW()-2)="","[Automatic]",INDEX(Informatiebehoefte_ENG[Title],ROW()-2)),"[Automatic]")</f>
        <v>[Automatic]</v>
      </c>
      <c r="C16" s="44"/>
      <c r="D16" s="44"/>
      <c r="E16" s="44"/>
      <c r="F16" s="44"/>
      <c r="G16" s="44"/>
      <c r="H16" s="44"/>
      <c r="I16" s="44"/>
      <c r="J16" s="44"/>
    </row>
    <row r="17" spans="1:10" x14ac:dyDescent="0.25">
      <c r="A17" s="13" t="str" cm="1">
        <f t="array" ref="A17">IFERROR(IF(INDEX(Informatiebehoefte_NL[Titel],ROW()-2)="","[Automatic]",INDEX(Informatiebehoefte_NL[Titel],ROW()-2)),"[Automatic]")</f>
        <v>[Automatic]</v>
      </c>
      <c r="B17" s="13" t="str" cm="1">
        <f t="array" ref="B17">IFERROR(IF(INDEX(Informatiebehoefte_ENG[Title],ROW()-2)="","[Automatic]",INDEX(Informatiebehoefte_ENG[Title],ROW()-2)),"[Automatic]")</f>
        <v>[Automatic]</v>
      </c>
      <c r="C17" s="44"/>
      <c r="D17" s="44"/>
      <c r="E17" s="44"/>
      <c r="F17" s="44"/>
      <c r="G17" s="44"/>
      <c r="H17" s="44"/>
      <c r="I17" s="44"/>
      <c r="J17" s="44"/>
    </row>
    <row r="18" spans="1:10" x14ac:dyDescent="0.25">
      <c r="A18" s="13" t="str" cm="1">
        <f t="array" ref="A18">IFERROR(IF(INDEX(Informatiebehoefte_NL[Titel],ROW()-2)="","[Automatic]",INDEX(Informatiebehoefte_NL[Titel],ROW()-2)),"[Automatic]")</f>
        <v>[Automatic]</v>
      </c>
      <c r="B18" s="13" t="str" cm="1">
        <f t="array" ref="B18">IFERROR(IF(INDEX(Informatiebehoefte_ENG[Title],ROW()-2)="","[Automatic]",INDEX(Informatiebehoefte_ENG[Title],ROW()-2)),"[Automatic]")</f>
        <v>[Automatic]</v>
      </c>
      <c r="C18" s="44"/>
      <c r="D18" s="44"/>
      <c r="E18" s="44"/>
      <c r="F18" s="44"/>
      <c r="G18" s="44"/>
      <c r="H18" s="44"/>
      <c r="I18" s="44"/>
      <c r="J18" s="44"/>
    </row>
    <row r="19" spans="1:10" x14ac:dyDescent="0.25">
      <c r="A19" s="13" t="str" cm="1">
        <f t="array" ref="A19">IFERROR(IF(INDEX(Informatiebehoefte_NL[Titel],ROW()-2)="","[Automatic]",INDEX(Informatiebehoefte_NL[Titel],ROW()-2)),"[Automatic]")</f>
        <v>[Automatic]</v>
      </c>
      <c r="B19" s="13" t="str" cm="1">
        <f t="array" ref="B19">IFERROR(IF(INDEX(Informatiebehoefte_ENG[Title],ROW()-2)="","[Automatic]",INDEX(Informatiebehoefte_ENG[Title],ROW()-2)),"[Automatic]")</f>
        <v>[Automatic]</v>
      </c>
      <c r="C19" s="44"/>
      <c r="D19" s="44"/>
      <c r="E19" s="44"/>
      <c r="F19" s="44"/>
      <c r="G19" s="44"/>
      <c r="H19" s="44"/>
      <c r="I19" s="44"/>
      <c r="J19" s="44"/>
    </row>
    <row r="20" spans="1:10" x14ac:dyDescent="0.25">
      <c r="A20" s="13" t="str" cm="1">
        <f t="array" ref="A20">IFERROR(IF(INDEX(Informatiebehoefte_NL[Titel],ROW()-2)="","[Automatic]",INDEX(Informatiebehoefte_NL[Titel],ROW()-2)),"[Automatic]")</f>
        <v>[Automatic]</v>
      </c>
      <c r="B20" s="13" t="str" cm="1">
        <f t="array" ref="B20">IFERROR(IF(INDEX(Informatiebehoefte_ENG[Title],ROW()-2)="","[Automatic]",INDEX(Informatiebehoefte_ENG[Title],ROW()-2)),"[Automatic]")</f>
        <v>[Automatic]</v>
      </c>
      <c r="C20" s="44"/>
      <c r="D20" s="44"/>
      <c r="E20" s="44"/>
      <c r="F20" s="44"/>
      <c r="G20" s="44"/>
      <c r="H20" s="44"/>
      <c r="I20" s="44"/>
      <c r="J20" s="44"/>
    </row>
    <row r="21" spans="1:10" x14ac:dyDescent="0.25">
      <c r="A21" s="13" t="str" cm="1">
        <f t="array" ref="A21">IFERROR(IF(INDEX(Informatiebehoefte_NL[Titel],ROW()-2)="","[Automatic]",INDEX(Informatiebehoefte_NL[Titel],ROW()-2)),"[Automatic]")</f>
        <v>[Automatic]</v>
      </c>
      <c r="B21" s="13" t="str" cm="1">
        <f t="array" ref="B21">IFERROR(IF(INDEX(Informatiebehoefte_ENG[Title],ROW()-2)="","[Automatic]",INDEX(Informatiebehoefte_ENG[Title],ROW()-2)),"[Automatic]")</f>
        <v>[Automatic]</v>
      </c>
      <c r="C21" s="44"/>
      <c r="D21" s="44"/>
      <c r="E21" s="44"/>
      <c r="F21" s="44"/>
      <c r="G21" s="44"/>
      <c r="H21" s="44"/>
      <c r="I21" s="44"/>
      <c r="J21" s="44"/>
    </row>
    <row r="22" spans="1:10" x14ac:dyDescent="0.25">
      <c r="A22" s="13" t="str" cm="1">
        <f t="array" ref="A22">IFERROR(IF(INDEX(Informatiebehoefte_NL[Titel],ROW()-2)="","[Automatic]",INDEX(Informatiebehoefte_NL[Titel],ROW()-2)),"[Automatic]")</f>
        <v>[Automatic]</v>
      </c>
      <c r="B22" s="13" t="str" cm="1">
        <f t="array" ref="B22">IFERROR(IF(INDEX(Informatiebehoefte_ENG[Title],ROW()-2)="","[Automatic]",INDEX(Informatiebehoefte_ENG[Title],ROW()-2)),"[Automatic]")</f>
        <v>[Automatic]</v>
      </c>
      <c r="C22" s="44"/>
      <c r="D22" s="44"/>
      <c r="E22" s="44"/>
      <c r="F22" s="44"/>
      <c r="G22" s="44"/>
      <c r="H22" s="44"/>
      <c r="I22" s="44"/>
      <c r="J22" s="44"/>
    </row>
    <row r="23" spans="1:10" x14ac:dyDescent="0.25">
      <c r="A23" s="13" t="str" cm="1">
        <f t="array" ref="A23">IFERROR(IF(INDEX(Informatiebehoefte_NL[Titel],ROW()-2)="","[Automatic]",INDEX(Informatiebehoefte_NL[Titel],ROW()-2)),"[Automatic]")</f>
        <v>[Automatic]</v>
      </c>
      <c r="B23" s="13" t="str" cm="1">
        <f t="array" ref="B23">IFERROR(IF(INDEX(Informatiebehoefte_ENG[Title],ROW()-2)="","[Automatic]",INDEX(Informatiebehoefte_ENG[Title],ROW()-2)),"[Automatic]")</f>
        <v>[Automatic]</v>
      </c>
      <c r="C23" s="44"/>
      <c r="D23" s="44"/>
      <c r="E23" s="44"/>
      <c r="F23" s="44"/>
      <c r="G23" s="44"/>
      <c r="H23" s="44"/>
      <c r="I23" s="44"/>
      <c r="J23" s="44"/>
    </row>
    <row r="24" spans="1:10" x14ac:dyDescent="0.25">
      <c r="A24" s="13" t="str" cm="1">
        <f t="array" ref="A24">IFERROR(IF(INDEX(Informatiebehoefte_NL[Titel],ROW()-2)="","[Automatic]",INDEX(Informatiebehoefte_NL[Titel],ROW()-2)),"[Automatic]")</f>
        <v>[Automatic]</v>
      </c>
      <c r="B24" s="13" t="str" cm="1">
        <f t="array" ref="B24">IFERROR(IF(INDEX(Informatiebehoefte_ENG[Title],ROW()-2)="","[Automatic]",INDEX(Informatiebehoefte_ENG[Title],ROW()-2)),"[Automatic]")</f>
        <v>[Automatic]</v>
      </c>
      <c r="C24" s="44"/>
      <c r="D24" s="44"/>
      <c r="E24" s="44"/>
      <c r="F24" s="44"/>
      <c r="G24" s="44"/>
      <c r="H24" s="44"/>
      <c r="I24" s="44"/>
      <c r="J24" s="44"/>
    </row>
    <row r="25" spans="1:10" x14ac:dyDescent="0.25">
      <c r="A25" s="13" t="str" cm="1">
        <f t="array" ref="A25">IFERROR(IF(INDEX(Informatiebehoefte_NL[Titel],ROW()-2)="","[Automatic]",INDEX(Informatiebehoefte_NL[Titel],ROW()-2)),"[Automatic]")</f>
        <v>[Automatic]</v>
      </c>
      <c r="B25" s="13" t="str" cm="1">
        <f t="array" ref="B25">IFERROR(IF(INDEX(Informatiebehoefte_ENG[Title],ROW()-2)="","[Automatic]",INDEX(Informatiebehoefte_ENG[Title],ROW()-2)),"[Automatic]")</f>
        <v>[Automatic]</v>
      </c>
      <c r="C25" s="44"/>
      <c r="D25" s="44"/>
      <c r="E25" s="44"/>
      <c r="F25" s="44"/>
      <c r="G25" s="44"/>
      <c r="H25" s="44"/>
      <c r="I25" s="44"/>
      <c r="J25" s="44"/>
    </row>
    <row r="26" spans="1:10" x14ac:dyDescent="0.25">
      <c r="A26" s="13" t="str" cm="1">
        <f t="array" ref="A26">IFERROR(IF(INDEX(Informatiebehoefte_NL[Titel],ROW()-2)="","[Automatic]",INDEX(Informatiebehoefte_NL[Titel],ROW()-2)),"[Automatic]")</f>
        <v>[Automatic]</v>
      </c>
      <c r="B26" s="13" t="str" cm="1">
        <f t="array" ref="B26">IFERROR(IF(INDEX(Informatiebehoefte_ENG[Title],ROW()-2)="","[Automatic]",INDEX(Informatiebehoefte_ENG[Title],ROW()-2)),"[Automatic]")</f>
        <v>[Automatic]</v>
      </c>
      <c r="C26" s="44"/>
      <c r="D26" s="44"/>
      <c r="E26" s="44"/>
      <c r="F26" s="44"/>
      <c r="G26" s="44"/>
      <c r="H26" s="44"/>
      <c r="I26" s="44"/>
      <c r="J26" s="44"/>
    </row>
    <row r="27" spans="1:10" x14ac:dyDescent="0.25">
      <c r="A27" s="13" t="str" cm="1">
        <f t="array" ref="A27">IFERROR(IF(INDEX(Informatiebehoefte_NL[Titel],ROW()-2)="","[Automatic]",INDEX(Informatiebehoefte_NL[Titel],ROW()-2)),"[Automatic]")</f>
        <v>[Automatic]</v>
      </c>
      <c r="B27" s="13" t="str" cm="1">
        <f t="array" ref="B27">IFERROR(IF(INDEX(Informatiebehoefte_ENG[Title],ROW()-2)="","[Automatic]",INDEX(Informatiebehoefte_ENG[Title],ROW()-2)),"[Automatic]")</f>
        <v>[Automatic]</v>
      </c>
      <c r="C27" s="44"/>
      <c r="D27" s="44"/>
      <c r="E27" s="44"/>
      <c r="F27" s="44"/>
      <c r="G27" s="44"/>
      <c r="H27" s="44"/>
      <c r="I27" s="44"/>
      <c r="J27" s="44"/>
    </row>
    <row r="28" spans="1:10" x14ac:dyDescent="0.25">
      <c r="A28" s="13" t="str" cm="1">
        <f t="array" ref="A28">IFERROR(IF(INDEX(Informatiebehoefte_NL[Titel],ROW()-2)="","[Automatic]",INDEX(Informatiebehoefte_NL[Titel],ROW()-2)),"[Automatic]")</f>
        <v>[Automatic]</v>
      </c>
      <c r="B28" s="13" t="str" cm="1">
        <f t="array" ref="B28">IFERROR(IF(INDEX(Informatiebehoefte_ENG[Title],ROW()-2)="","[Automatic]",INDEX(Informatiebehoefte_ENG[Title],ROW()-2)),"[Automatic]")</f>
        <v>[Automatic]</v>
      </c>
      <c r="C28" s="44"/>
      <c r="D28" s="44"/>
      <c r="E28" s="44"/>
      <c r="F28" s="44"/>
      <c r="G28" s="44"/>
      <c r="H28" s="44"/>
      <c r="I28" s="44"/>
      <c r="J28" s="44"/>
    </row>
    <row r="29" spans="1:10" x14ac:dyDescent="0.25">
      <c r="A29" s="13" t="str" cm="1">
        <f t="array" ref="A29">IFERROR(IF(INDEX(Informatiebehoefte_NL[Titel],ROW()-2)="","[Automatic]",INDEX(Informatiebehoefte_NL[Titel],ROW()-2)),"[Automatic]")</f>
        <v>[Automatic]</v>
      </c>
      <c r="B29" s="13" t="str" cm="1">
        <f t="array" ref="B29">IFERROR(IF(INDEX(Informatiebehoefte_ENG[Title],ROW()-2)="","[Automatic]",INDEX(Informatiebehoefte_ENG[Title],ROW()-2)),"[Automatic]")</f>
        <v>[Automatic]</v>
      </c>
      <c r="C29" s="44"/>
      <c r="D29" s="44"/>
      <c r="E29" s="44"/>
      <c r="F29" s="44"/>
      <c r="G29" s="44"/>
      <c r="H29" s="44"/>
      <c r="I29" s="44"/>
      <c r="J29" s="44"/>
    </row>
    <row r="30" spans="1:10" x14ac:dyDescent="0.25">
      <c r="A30" s="13" t="str" cm="1">
        <f t="array" ref="A30">IFERROR(IF(INDEX(Informatiebehoefte_NL[Titel],ROW()-2)="","[Automatic]",INDEX(Informatiebehoefte_NL[Titel],ROW()-2)),"[Automatic]")</f>
        <v>[Automatic]</v>
      </c>
      <c r="B30" s="13" t="str" cm="1">
        <f t="array" ref="B30">IFERROR(IF(INDEX(Informatiebehoefte_ENG[Title],ROW()-2)="","[Automatic]",INDEX(Informatiebehoefte_ENG[Title],ROW()-2)),"[Automatic]")</f>
        <v>[Automatic]</v>
      </c>
      <c r="C30" s="44"/>
      <c r="D30" s="44"/>
      <c r="E30" s="44"/>
      <c r="F30" s="44"/>
      <c r="G30" s="44"/>
      <c r="H30" s="44"/>
      <c r="I30" s="44"/>
      <c r="J30" s="44"/>
    </row>
    <row r="31" spans="1:10" x14ac:dyDescent="0.25">
      <c r="A31" s="13" t="str" cm="1">
        <f t="array" ref="A31">IFERROR(IF(INDEX(Informatiebehoefte_NL[Titel],ROW()-2)="","[Automatic]",INDEX(Informatiebehoefte_NL[Titel],ROW()-2)),"[Automatic]")</f>
        <v>[Automatic]</v>
      </c>
      <c r="B31" s="13" t="str" cm="1">
        <f t="array" ref="B31">IFERROR(IF(INDEX(Informatiebehoefte_ENG[Title],ROW()-2)="","[Automatic]",INDEX(Informatiebehoefte_ENG[Title],ROW()-2)),"[Automatic]")</f>
        <v>[Automatic]</v>
      </c>
      <c r="C31" s="44"/>
      <c r="D31" s="44"/>
      <c r="E31" s="44"/>
      <c r="F31" s="44"/>
      <c r="G31" s="44"/>
      <c r="H31" s="44"/>
      <c r="I31" s="44"/>
      <c r="J31" s="44"/>
    </row>
    <row r="32" spans="1:10" x14ac:dyDescent="0.25">
      <c r="A32" s="13" t="str" cm="1">
        <f t="array" ref="A32">IFERROR(IF(INDEX(Informatiebehoefte_NL[Titel],ROW()-2)="","[Automatic]",INDEX(Informatiebehoefte_NL[Titel],ROW()-2)),"[Automatic]")</f>
        <v>[Automatic]</v>
      </c>
      <c r="B32" s="13" t="str" cm="1">
        <f t="array" ref="B32">IFERROR(IF(INDEX(Informatiebehoefte_ENG[Title],ROW()-2)="","[Automatic]",INDEX(Informatiebehoefte_ENG[Title],ROW()-2)),"[Automatic]")</f>
        <v>[Automatic]</v>
      </c>
      <c r="C32" s="44"/>
      <c r="D32" s="44"/>
      <c r="E32" s="44"/>
      <c r="F32" s="44"/>
      <c r="G32" s="44"/>
      <c r="H32" s="44"/>
      <c r="I32" s="44"/>
      <c r="J32" s="44"/>
    </row>
    <row r="33" spans="1:10" x14ac:dyDescent="0.25">
      <c r="A33" s="13" t="str" cm="1">
        <f t="array" ref="A33">IFERROR(IF(INDEX(Informatiebehoefte_NL[Titel],ROW()-2)="","[Automatic]",INDEX(Informatiebehoefte_NL[Titel],ROW()-2)),"[Automatic]")</f>
        <v>[Automatic]</v>
      </c>
      <c r="B33" s="13" t="str" cm="1">
        <f t="array" ref="B33">IFERROR(IF(INDEX(Informatiebehoefte_ENG[Title],ROW()-2)="","[Automatic]",INDEX(Informatiebehoefte_ENG[Title],ROW()-2)),"[Automatic]")</f>
        <v>[Automatic]</v>
      </c>
      <c r="C33" s="44"/>
      <c r="D33" s="44"/>
      <c r="E33" s="44"/>
      <c r="F33" s="44"/>
      <c r="G33" s="44"/>
      <c r="H33" s="44"/>
      <c r="I33" s="44"/>
      <c r="J33" s="44"/>
    </row>
    <row r="34" spans="1:10" x14ac:dyDescent="0.25">
      <c r="A34" s="13" t="str" cm="1">
        <f t="array" ref="A34">IFERROR(IF(INDEX(Informatiebehoefte_NL[Titel],ROW()-2)="","[Automatic]",INDEX(Informatiebehoefte_NL[Titel],ROW()-2)),"[Automatic]")</f>
        <v>[Automatic]</v>
      </c>
      <c r="B34" s="13" t="str" cm="1">
        <f t="array" ref="B34">IFERROR(IF(INDEX(Informatiebehoefte_ENG[Title],ROW()-2)="","[Automatic]",INDEX(Informatiebehoefte_ENG[Title],ROW()-2)),"[Automatic]")</f>
        <v>[Automatic]</v>
      </c>
      <c r="C34" s="44"/>
      <c r="D34" s="44"/>
      <c r="E34" s="44"/>
      <c r="F34" s="44"/>
      <c r="G34" s="44"/>
      <c r="H34" s="44"/>
      <c r="I34" s="44"/>
      <c r="J34" s="44"/>
    </row>
    <row r="35" spans="1:10" x14ac:dyDescent="0.25">
      <c r="A35" s="13" t="str" cm="1">
        <f t="array" ref="A35">IFERROR(IF(INDEX(Informatiebehoefte_NL[Titel],ROW()-2)="","[Automatic]",INDEX(Informatiebehoefte_NL[Titel],ROW()-2)),"[Automatic]")</f>
        <v>[Automatic]</v>
      </c>
      <c r="B35" s="13" t="str" cm="1">
        <f t="array" ref="B35">IFERROR(IF(INDEX(Informatiebehoefte_ENG[Title],ROW()-2)="","[Automatic]",INDEX(Informatiebehoefte_ENG[Title],ROW()-2)),"[Automatic]")</f>
        <v>[Automatic]</v>
      </c>
      <c r="C35" s="44"/>
      <c r="D35" s="44"/>
      <c r="E35" s="44"/>
      <c r="F35" s="44"/>
      <c r="G35" s="44"/>
      <c r="H35" s="44"/>
      <c r="I35" s="44"/>
      <c r="J35" s="44"/>
    </row>
    <row r="36" spans="1:10" x14ac:dyDescent="0.25">
      <c r="A36" s="13" t="str" cm="1">
        <f t="array" ref="A36">IFERROR(IF(INDEX(Informatiebehoefte_NL[Titel],ROW()-2)="","[Automatic]",INDEX(Informatiebehoefte_NL[Titel],ROW()-2)),"[Automatic]")</f>
        <v>[Automatic]</v>
      </c>
      <c r="B36" s="13" t="str" cm="1">
        <f t="array" ref="B36">IFERROR(IF(INDEX(Informatiebehoefte_ENG[Title],ROW()-2)="","[Automatic]",INDEX(Informatiebehoefte_ENG[Title],ROW()-2)),"[Automatic]")</f>
        <v>[Automatic]</v>
      </c>
      <c r="C36" s="44"/>
      <c r="D36" s="44"/>
      <c r="E36" s="44"/>
      <c r="F36" s="44"/>
      <c r="G36" s="44"/>
      <c r="H36" s="44"/>
      <c r="I36" s="44"/>
      <c r="J36" s="44"/>
    </row>
    <row r="37" spans="1:10" x14ac:dyDescent="0.25">
      <c r="A37" s="13" t="str" cm="1">
        <f t="array" ref="A37">IFERROR(IF(INDEX(Informatiebehoefte_NL[Titel],ROW()-2)="","[Automatic]",INDEX(Informatiebehoefte_NL[Titel],ROW()-2)),"[Automatic]")</f>
        <v>[Automatic]</v>
      </c>
      <c r="B37" s="13" t="str" cm="1">
        <f t="array" ref="B37">IFERROR(IF(INDEX(Informatiebehoefte_ENG[Title],ROW()-2)="","[Automatic]",INDEX(Informatiebehoefte_ENG[Title],ROW()-2)),"[Automatic]")</f>
        <v>[Automatic]</v>
      </c>
      <c r="C37" s="44"/>
      <c r="D37" s="44"/>
      <c r="E37" s="44"/>
      <c r="F37" s="44"/>
      <c r="G37" s="44"/>
      <c r="H37" s="44"/>
      <c r="I37" s="44"/>
      <c r="J37" s="44"/>
    </row>
  </sheetData>
  <sheetProtection sheet="1" objects="1" scenarios="1" insertColumns="0" insertRows="0" insertHyperlinks="0" deleteColumns="0" deleteRows="0"/>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B94D0-72A2-4493-8712-6059997E5279}">
  <sheetPr>
    <tabColor rgb="FFC724B1"/>
  </sheetPr>
  <dimension ref="A1:B7"/>
  <sheetViews>
    <sheetView workbookViewId="0">
      <pane xSplit="1" ySplit="2" topLeftCell="B3" activePane="bottomRight" state="frozen"/>
      <selection pane="topRight" activeCell="B1" sqref="B1"/>
      <selection pane="bottomLeft" activeCell="A3" sqref="A3"/>
      <selection pane="bottomRight" activeCell="A3" sqref="A3"/>
    </sheetView>
  </sheetViews>
  <sheetFormatPr defaultRowHeight="15" x14ac:dyDescent="0.25"/>
  <cols>
    <col min="1" max="1" width="36.42578125" customWidth="1"/>
    <col min="2" max="2" width="105.7109375" customWidth="1"/>
  </cols>
  <sheetData>
    <row r="1" spans="1:2" ht="141" customHeight="1" x14ac:dyDescent="0.25"/>
    <row r="2" spans="1:2" hidden="1" x14ac:dyDescent="0.25">
      <c r="A2" t="s">
        <v>0</v>
      </c>
      <c r="B2" t="s">
        <v>38</v>
      </c>
    </row>
    <row r="3" spans="1:2" x14ac:dyDescent="0.25">
      <c r="A3" s="11" t="s">
        <v>22</v>
      </c>
    </row>
    <row r="4" spans="1:2" x14ac:dyDescent="0.25">
      <c r="A4" s="11" t="s">
        <v>23</v>
      </c>
    </row>
    <row r="6" spans="1:2" hidden="1" x14ac:dyDescent="0.25">
      <c r="A6" s="50" t="s">
        <v>0</v>
      </c>
      <c r="B6" s="53" t="s">
        <v>38</v>
      </c>
    </row>
    <row r="7" spans="1:2" x14ac:dyDescent="0.25">
      <c r="A7" s="51" t="s">
        <v>24</v>
      </c>
      <c r="B7" s="52"/>
    </row>
  </sheetData>
  <pageMargins left="0.7" right="0.7" top="0.75" bottom="0.75" header="0.3" footer="0.3"/>
  <pageSetup paperSize="9"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893F3-643A-4B1C-BD8A-6176E3582436}">
  <sheetPr>
    <tabColor rgb="FFC724B1"/>
  </sheetPr>
  <dimension ref="A1:B7"/>
  <sheetViews>
    <sheetView workbookViewId="0">
      <pane xSplit="1" ySplit="2" topLeftCell="B3" activePane="bottomRight" state="frozen"/>
      <selection pane="topRight" activeCell="B1" sqref="B1"/>
      <selection pane="bottomLeft" activeCell="A3" sqref="A3"/>
      <selection pane="bottomRight" activeCell="B7" sqref="B7"/>
    </sheetView>
  </sheetViews>
  <sheetFormatPr defaultRowHeight="15" x14ac:dyDescent="0.25"/>
  <cols>
    <col min="1" max="1" width="36.42578125" style="25" customWidth="1"/>
    <col min="2" max="2" width="105.7109375" style="25" customWidth="1"/>
    <col min="3" max="16384" width="9.140625" style="25"/>
  </cols>
  <sheetData>
    <row r="1" spans="1:2" ht="141" customHeight="1" x14ac:dyDescent="0.25"/>
    <row r="2" spans="1:2" hidden="1" x14ac:dyDescent="0.25">
      <c r="A2" s="25" t="s">
        <v>49</v>
      </c>
      <c r="B2" s="25" t="s">
        <v>61</v>
      </c>
    </row>
    <row r="3" spans="1:2" x14ac:dyDescent="0.25">
      <c r="A3" s="45" t="s">
        <v>60</v>
      </c>
      <c r="B3" s="46" t="str" cm="1">
        <f t="array" ref="B3">IFERROR(IF(INDEX(Basismodel_NL[Invulling],ROW()-2)="","[Automatic]",INDEX(Basismodel_NL[Invulling],ROW()-2)),"[Automatic]")</f>
        <v>[Automatic]</v>
      </c>
    </row>
    <row r="4" spans="1:2" x14ac:dyDescent="0.25">
      <c r="A4" s="45" t="s">
        <v>59</v>
      </c>
      <c r="B4" s="46" t="str" cm="1">
        <f t="array" ref="B4">IFERROR(IF(INDEX(Basismodel_NL[Invulling],ROW()-2)="","[Automatic]",INDEX(Basismodel_NL[Invulling],ROW()-2)),"[Automatic]")</f>
        <v>[Automatic]</v>
      </c>
    </row>
    <row r="6" spans="1:2" hidden="1" x14ac:dyDescent="0.25">
      <c r="A6" s="55" t="s">
        <v>49</v>
      </c>
      <c r="B6" s="56" t="s">
        <v>61</v>
      </c>
    </row>
    <row r="7" spans="1:2" x14ac:dyDescent="0.25">
      <c r="A7" s="57" t="s">
        <v>58</v>
      </c>
      <c r="B7" s="58"/>
    </row>
  </sheetData>
  <sheetProtection sheet="1" objects="1" scenarios="1" insertRows="0" insertHyperlinks="0"/>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B483-8C84-4752-AFA6-C2A9C85962B8}">
  <dimension ref="A2:B16"/>
  <sheetViews>
    <sheetView workbookViewId="0">
      <selection activeCell="B29" sqref="B29"/>
    </sheetView>
  </sheetViews>
  <sheetFormatPr defaultRowHeight="15" x14ac:dyDescent="0.25"/>
  <cols>
    <col min="1" max="1" width="49.42578125" customWidth="1"/>
    <col min="2" max="2" width="47" customWidth="1"/>
  </cols>
  <sheetData>
    <row r="2" spans="1:2" x14ac:dyDescent="0.25">
      <c r="A2" t="s">
        <v>16</v>
      </c>
      <c r="B2" t="s">
        <v>51</v>
      </c>
    </row>
    <row r="3" spans="1:2" x14ac:dyDescent="0.25">
      <c r="A3" t="s">
        <v>26</v>
      </c>
      <c r="B3" t="s">
        <v>62</v>
      </c>
    </row>
    <row r="4" spans="1:2" x14ac:dyDescent="0.25">
      <c r="A4" t="s">
        <v>27</v>
      </c>
      <c r="B4" t="s">
        <v>63</v>
      </c>
    </row>
    <row r="9" spans="1:2" x14ac:dyDescent="0.25">
      <c r="A9" t="s">
        <v>30</v>
      </c>
      <c r="B9" t="s">
        <v>64</v>
      </c>
    </row>
    <row r="10" spans="1:2" x14ac:dyDescent="0.25">
      <c r="A10" t="s">
        <v>28</v>
      </c>
      <c r="B10" t="s">
        <v>65</v>
      </c>
    </row>
    <row r="11" spans="1:2" x14ac:dyDescent="0.25">
      <c r="A11" t="s">
        <v>29</v>
      </c>
      <c r="B11" t="s">
        <v>66</v>
      </c>
    </row>
    <row r="14" spans="1:2" x14ac:dyDescent="0.25">
      <c r="A14" t="s">
        <v>67</v>
      </c>
    </row>
    <row r="15" spans="1:2" x14ac:dyDescent="0.25">
      <c r="A15" t="s">
        <v>69</v>
      </c>
    </row>
    <row r="16" spans="1:2" x14ac:dyDescent="0.25">
      <c r="A16" t="s">
        <v>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B9AD58-A794-48C7-986D-80A9DB4B32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3A9028-3436-4B29-A420-9ED5B8A085B1}">
  <ds:schemaRefs>
    <ds:schemaRef ds:uri="http://schemas.microsoft.com/office/2006/metadata/properties"/>
    <ds:schemaRef ds:uri="http://schemas.microsoft.com/office/infopath/2007/PartnerControls"/>
    <ds:schemaRef ds:uri="bb18a1b9-ddba-4244-9634-64732d0cb267"/>
    <ds:schemaRef ds:uri="06294a2e-6f87-4144-83b8-94a4d04d144a"/>
  </ds:schemaRefs>
</ds:datastoreItem>
</file>

<file path=customXml/itemProps3.xml><?xml version="1.0" encoding="utf-8"?>
<ds:datastoreItem xmlns:ds="http://schemas.openxmlformats.org/officeDocument/2006/customXml" ds:itemID="{148267B0-4CF5-48A7-B543-CDE45AF0A8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Uitleg</vt:lpstr>
      <vt:lpstr>Concept</vt:lpstr>
      <vt:lpstr>Concept (ENG)</vt:lpstr>
      <vt:lpstr>Informatie-requirements</vt:lpstr>
      <vt:lpstr>Information requirements (ENG)</vt:lpstr>
      <vt:lpstr>Bronnen</vt:lpstr>
      <vt:lpstr>Traceability matrix</vt:lpstr>
      <vt:lpstr>Overwegingen kiezen basismodel</vt:lpstr>
      <vt:lpstr>Base model considerations (ENG)</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Edelman</dc:creator>
  <cp:keywords/>
  <dc:description/>
  <cp:lastModifiedBy>Pieter Edelman</cp:lastModifiedBy>
  <cp:revision/>
  <dcterms:created xsi:type="dcterms:W3CDTF">2026-03-12T13:25:44Z</dcterms:created>
  <dcterms:modified xsi:type="dcterms:W3CDTF">2026-09-08T19:58:32Z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