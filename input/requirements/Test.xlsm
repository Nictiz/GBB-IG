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tables/table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edelman_nict1\IGs\GBB-IG\input\requirements\"/>
    </mc:Choice>
  </mc:AlternateContent>
  <xr:revisionPtr revIDLastSave="0" documentId="13_ncr:1_{963750A5-6D7A-4A47-9558-A0C72D9096E5}" xr6:coauthVersionLast="47" xr6:coauthVersionMax="47" xr10:uidLastSave="{00000000-0000-0000-0000-000000000000}"/>
  <bookViews>
    <workbookView xWindow="-120" yWindow="-120" windowWidth="29040" windowHeight="15720" firstSheet="1" activeTab="3" xr2:uid="{71855D19-E937-4D4D-85D2-5BCEBB780255}"/>
  </bookViews>
  <sheets>
    <sheet name="Uitleg" sheetId="5" r:id="rId1"/>
    <sheet name="Concept" sheetId="2" r:id="rId2"/>
    <sheet name="Concept (ENG)" sheetId="11" r:id="rId3"/>
    <sheet name="Informatie-requirements" sheetId="1" r:id="rId4"/>
    <sheet name="Information requirements (ENG)" sheetId="12" r:id="rId5"/>
    <sheet name="Bronnen" sheetId="6" r:id="rId6"/>
    <sheet name="Traceability matrix" sheetId="7" r:id="rId7"/>
    <sheet name="Overwegingen kiezen basismodel" sheetId="8" r:id="rId8"/>
    <sheet name="Base model considerations (ENG)" sheetId="14" r:id="rId9"/>
    <sheet name="Drop down menu's" sheetId="10" r:id="rId10"/>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 i="12" l="1" a="1"/>
  <c r="L3" i="12" s="1"/>
  <c r="L4" i="12" a="1"/>
  <c r="L5" i="12" a="1"/>
  <c r="L5" i="12" s="1"/>
  <c r="L6" i="12" a="1"/>
  <c r="L6" i="12" s="1"/>
  <c r="L7" i="12" a="1"/>
  <c r="L7" i="12" s="1"/>
  <c r="L8" i="12" a="1"/>
  <c r="L8" i="12" s="1"/>
  <c r="L9" i="12" a="1"/>
  <c r="L9" i="12" s="1"/>
  <c r="L10" i="12" a="1"/>
  <c r="L10" i="12" s="1"/>
  <c r="L11" i="12" a="1"/>
  <c r="L11" i="12" s="1"/>
  <c r="L12" i="12" a="1"/>
  <c r="L12" i="12" s="1"/>
  <c r="L13" i="12" a="1"/>
  <c r="L13" i="12" s="1"/>
  <c r="L14" i="12" a="1"/>
  <c r="L14" i="12" s="1"/>
  <c r="L15" i="12" a="1"/>
  <c r="L16" i="12" a="1"/>
  <c r="L16" i="12" s="1"/>
  <c r="L17" i="12" a="1"/>
  <c r="L17" i="12" s="1"/>
  <c r="L18" i="12" a="1"/>
  <c r="L18" i="12" s="1"/>
  <c r="L19" i="12" a="1"/>
  <c r="L19" i="12" s="1"/>
  <c r="L20" i="12" a="1"/>
  <c r="L20" i="12" s="1"/>
  <c r="L21" i="12" a="1"/>
  <c r="L21" i="12" s="1"/>
  <c r="L22" i="12" a="1"/>
  <c r="L22" i="12" s="1"/>
  <c r="L23" i="12" a="1"/>
  <c r="L23" i="12" s="1"/>
  <c r="L24" i="12" a="1"/>
  <c r="L24" i="12" s="1"/>
  <c r="L25" i="12" a="1"/>
  <c r="L25" i="12" s="1"/>
  <c r="L26" i="12" a="1"/>
  <c r="L26" i="12" s="1"/>
  <c r="L27" i="12" a="1"/>
  <c r="L27" i="12" s="1"/>
  <c r="L28" i="12" a="1"/>
  <c r="L28" i="12" s="1"/>
  <c r="L29" i="12" a="1"/>
  <c r="L29" i="12" s="1"/>
  <c r="L30" i="12" a="1"/>
  <c r="L30" i="12" s="1"/>
  <c r="L31" i="12" a="1"/>
  <c r="L31" i="12" s="1"/>
  <c r="L32" i="12" a="1"/>
  <c r="L32" i="12" s="1"/>
  <c r="L33" i="12" a="1"/>
  <c r="L33" i="12" s="1"/>
  <c r="L34" i="12" a="1"/>
  <c r="L34" i="12" s="1"/>
  <c r="L35" i="12" a="1"/>
  <c r="L35" i="12" s="1"/>
  <c r="L36" i="12" a="1"/>
  <c r="L36" i="12" s="1"/>
  <c r="L37" i="12" a="1"/>
  <c r="L37" i="12" s="1"/>
  <c r="A3" i="12" a="1"/>
  <c r="A3" i="12" s="1"/>
  <c r="A4" i="12" a="1"/>
  <c r="A4" i="12" s="1"/>
  <c r="A5" i="12" a="1"/>
  <c r="A5" i="12" s="1"/>
  <c r="A6" i="12" a="1"/>
  <c r="A6" i="12" s="1"/>
  <c r="A7" i="12" a="1"/>
  <c r="A7" i="12" s="1"/>
  <c r="A8" i="12" a="1"/>
  <c r="A8" i="12" s="1"/>
  <c r="A9" i="12" a="1"/>
  <c r="A9" i="12" s="1"/>
  <c r="A10" i="12" a="1"/>
  <c r="A10" i="12" s="1"/>
  <c r="A11" i="12" a="1"/>
  <c r="A11" i="12" s="1"/>
  <c r="A12" i="12" a="1"/>
  <c r="A12" i="12" s="1"/>
  <c r="A13" i="12" a="1"/>
  <c r="A13" i="12" s="1"/>
  <c r="A14" i="12" a="1"/>
  <c r="A14" i="12" s="1"/>
  <c r="A15" i="12" a="1"/>
  <c r="A15" i="12" s="1"/>
  <c r="A16" i="12" a="1"/>
  <c r="A16" i="12" s="1"/>
  <c r="A17" i="12" a="1"/>
  <c r="A17" i="12" s="1"/>
  <c r="A18" i="12" a="1"/>
  <c r="A18" i="12" s="1"/>
  <c r="A19" i="12" a="1"/>
  <c r="A19" i="12" s="1"/>
  <c r="A20" i="12" a="1"/>
  <c r="A20" i="12" s="1"/>
  <c r="A21" i="12" a="1"/>
  <c r="A21" i="12" s="1"/>
  <c r="A22" i="12" a="1"/>
  <c r="A22" i="12" s="1"/>
  <c r="A23" i="12" a="1"/>
  <c r="A23" i="12" s="1"/>
  <c r="A24" i="12" a="1"/>
  <c r="A24" i="12" s="1"/>
  <c r="A25" i="12" a="1"/>
  <c r="A25" i="12" s="1"/>
  <c r="A26" i="12" a="1"/>
  <c r="A26" i="12" s="1"/>
  <c r="A27" i="12" a="1"/>
  <c r="A27" i="12" s="1"/>
  <c r="A28" i="12" a="1"/>
  <c r="A28" i="12" s="1"/>
  <c r="A29" i="12" a="1"/>
  <c r="A29" i="12" s="1"/>
  <c r="A30" i="12" a="1"/>
  <c r="A30" i="12" s="1"/>
  <c r="A31" i="12" a="1"/>
  <c r="A31" i="12" s="1"/>
  <c r="A32" i="12" a="1"/>
  <c r="A32" i="12" s="1"/>
  <c r="A33" i="12" a="1"/>
  <c r="A33" i="12" s="1"/>
  <c r="A34" i="12" a="1"/>
  <c r="A34" i="12" s="1"/>
  <c r="A35" i="12" a="1"/>
  <c r="A35" i="12" s="1"/>
  <c r="A36" i="12" a="1"/>
  <c r="A36" i="12" s="1"/>
  <c r="A37" i="12" a="1"/>
  <c r="A37" i="12" s="1"/>
  <c r="B101" i="7" a="1"/>
  <c r="B101" i="7" s="1"/>
  <c r="B100" i="7" a="1"/>
  <c r="B100" i="7" s="1"/>
  <c r="B99" i="7" a="1"/>
  <c r="B99" i="7" s="1"/>
  <c r="B98" i="7" a="1"/>
  <c r="B98" i="7" s="1"/>
  <c r="B97" i="7" a="1"/>
  <c r="B96" i="7" a="1"/>
  <c r="B95" i="7" a="1"/>
  <c r="B95" i="7" s="1"/>
  <c r="B94" i="7" a="1"/>
  <c r="B94" i="7" s="1"/>
  <c r="B93" i="7" a="1"/>
  <c r="B93" i="7" s="1"/>
  <c r="B92" i="7" a="1"/>
  <c r="B91" i="7" a="1"/>
  <c r="B90" i="7" a="1"/>
  <c r="B89" i="7" a="1"/>
  <c r="B88" i="7" a="1"/>
  <c r="B88" i="7" s="1"/>
  <c r="B87" i="7" a="1"/>
  <c r="B87" i="7" s="1"/>
  <c r="B86" i="7" a="1"/>
  <c r="B86" i="7" s="1"/>
  <c r="B85" i="7" a="1"/>
  <c r="B84" i="7" a="1"/>
  <c r="B83" i="7" a="1"/>
  <c r="B83" i="7" s="1"/>
  <c r="B82" i="7" a="1"/>
  <c r="B82" i="7" s="1"/>
  <c r="B81" i="7" a="1"/>
  <c r="B81" i="7" s="1"/>
  <c r="B80" i="7" a="1"/>
  <c r="B80" i="7" s="1"/>
  <c r="B79" i="7" a="1"/>
  <c r="B79" i="7" s="1"/>
  <c r="B78" i="7" a="1"/>
  <c r="B78" i="7" s="1"/>
  <c r="B77" i="7" a="1"/>
  <c r="B77" i="7" s="1"/>
  <c r="B76" i="7" a="1"/>
  <c r="B76" i="7" s="1"/>
  <c r="B75" i="7" a="1"/>
  <c r="B75" i="7" s="1"/>
  <c r="B74" i="7" a="1"/>
  <c r="B74" i="7" s="1"/>
  <c r="B73" i="7" a="1"/>
  <c r="B72" i="7" a="1"/>
  <c r="B71" i="7" a="1"/>
  <c r="B71" i="7" s="1"/>
  <c r="B70" i="7" a="1"/>
  <c r="B70" i="7" s="1"/>
  <c r="B69" i="7" a="1"/>
  <c r="B69" i="7" s="1"/>
  <c r="B68" i="7" a="1"/>
  <c r="B67" i="7" a="1"/>
  <c r="B67" i="7" s="1"/>
  <c r="B66" i="7" a="1"/>
  <c r="B66" i="7" s="1"/>
  <c r="B65" i="7" a="1"/>
  <c r="B65" i="7" s="1"/>
  <c r="B64" i="7" a="1"/>
  <c r="B64" i="7" s="1"/>
  <c r="B63" i="7" a="1"/>
  <c r="B63" i="7" s="1"/>
  <c r="B62" i="7" a="1"/>
  <c r="B62" i="7" s="1"/>
  <c r="B61" i="7" a="1"/>
  <c r="B60" i="7" a="1"/>
  <c r="B59" i="7" a="1"/>
  <c r="B59" i="7" s="1"/>
  <c r="B58" i="7" a="1"/>
  <c r="B58" i="7" s="1"/>
  <c r="B57" i="7" a="1"/>
  <c r="B57" i="7" s="1"/>
  <c r="B56" i="7" a="1"/>
  <c r="B55" i="7" a="1"/>
  <c r="B54" i="7" a="1"/>
  <c r="B53" i="7" a="1"/>
  <c r="B53" i="7" s="1"/>
  <c r="B52" i="7" a="1"/>
  <c r="B52" i="7" s="1"/>
  <c r="B51" i="7" a="1"/>
  <c r="B50" i="7" a="1"/>
  <c r="B50" i="7" s="1"/>
  <c r="B49" i="7" a="1"/>
  <c r="B48" i="7" a="1"/>
  <c r="B47" i="7" a="1"/>
  <c r="B47" i="7" s="1"/>
  <c r="B46" i="7" a="1"/>
  <c r="B46" i="7" s="1"/>
  <c r="B45" i="7" a="1"/>
  <c r="B45" i="7" s="1"/>
  <c r="B44" i="7" a="1"/>
  <c r="B44" i="7" s="1"/>
  <c r="B43" i="7" a="1"/>
  <c r="B43" i="7" s="1"/>
  <c r="B42" i="7" a="1"/>
  <c r="B42" i="7" s="1"/>
  <c r="B41" i="7" a="1"/>
  <c r="B41" i="7" s="1"/>
  <c r="A101" i="7" a="1"/>
  <c r="A101" i="7" s="1"/>
  <c r="A100" i="7" a="1"/>
  <c r="A100" i="7" s="1"/>
  <c r="A99" i="7" a="1"/>
  <c r="A99" i="7" s="1"/>
  <c r="A98" i="7" a="1"/>
  <c r="A98" i="7" s="1"/>
  <c r="A97" i="7" a="1"/>
  <c r="A97" i="7" s="1"/>
  <c r="A96" i="7" a="1"/>
  <c r="A96" i="7" s="1"/>
  <c r="A95" i="7" a="1"/>
  <c r="A95" i="7" s="1"/>
  <c r="A94" i="7" a="1"/>
  <c r="A94" i="7" s="1"/>
  <c r="A93" i="7" a="1"/>
  <c r="A93" i="7" s="1"/>
  <c r="A92" i="7" a="1"/>
  <c r="A92" i="7" s="1"/>
  <c r="A91" i="7" a="1"/>
  <c r="A91" i="7" s="1"/>
  <c r="A90" i="7" a="1"/>
  <c r="A90" i="7" s="1"/>
  <c r="A89" i="7" a="1"/>
  <c r="A89" i="7" s="1"/>
  <c r="A88" i="7" a="1"/>
  <c r="A88" i="7" s="1"/>
  <c r="A87" i="7" a="1"/>
  <c r="A87" i="7" s="1"/>
  <c r="A86" i="7" a="1"/>
  <c r="A86" i="7" s="1"/>
  <c r="A85" i="7" a="1"/>
  <c r="A85" i="7" s="1"/>
  <c r="A84" i="7" a="1"/>
  <c r="A84" i="7" s="1"/>
  <c r="A83" i="7" a="1"/>
  <c r="A83" i="7" s="1"/>
  <c r="A82" i="7" a="1"/>
  <c r="A82" i="7" s="1"/>
  <c r="A81" i="7" a="1"/>
  <c r="A81" i="7" s="1"/>
  <c r="A80" i="7" a="1"/>
  <c r="A80" i="7" s="1"/>
  <c r="A79" i="7" a="1"/>
  <c r="A79" i="7" s="1"/>
  <c r="A78" i="7" a="1"/>
  <c r="A78" i="7" s="1"/>
  <c r="A77" i="7" a="1"/>
  <c r="A77" i="7" s="1"/>
  <c r="A76" i="7" a="1"/>
  <c r="A76" i="7" s="1"/>
  <c r="A75" i="7" a="1"/>
  <c r="A75" i="7" s="1"/>
  <c r="A74" i="7" a="1"/>
  <c r="A74" i="7" s="1"/>
  <c r="A73" i="7" a="1"/>
  <c r="A73" i="7" s="1"/>
  <c r="A72" i="7" a="1"/>
  <c r="A72" i="7" s="1"/>
  <c r="A71" i="7" a="1"/>
  <c r="A71" i="7" s="1"/>
  <c r="A70" i="7" a="1"/>
  <c r="A70" i="7" s="1"/>
  <c r="A69" i="7" a="1"/>
  <c r="A69" i="7" s="1"/>
  <c r="A68" i="7" a="1"/>
  <c r="A68" i="7" s="1"/>
  <c r="A67" i="7" a="1"/>
  <c r="A67" i="7" s="1"/>
  <c r="A66" i="7" a="1"/>
  <c r="A66" i="7" s="1"/>
  <c r="A65" i="7" a="1"/>
  <c r="A65" i="7" s="1"/>
  <c r="A64" i="7" a="1"/>
  <c r="A64" i="7" s="1"/>
  <c r="A63" i="7" a="1"/>
  <c r="A63" i="7" s="1"/>
  <c r="A62" i="7" a="1"/>
  <c r="A62" i="7" s="1"/>
  <c r="A61" i="7" a="1"/>
  <c r="A61" i="7" s="1"/>
  <c r="A60" i="7" a="1"/>
  <c r="A60" i="7" s="1"/>
  <c r="A59" i="7" a="1"/>
  <c r="A59" i="7" s="1"/>
  <c r="A58" i="7" a="1"/>
  <c r="A58" i="7" s="1"/>
  <c r="A57" i="7" a="1"/>
  <c r="A57" i="7" s="1"/>
  <c r="A56" i="7" a="1"/>
  <c r="A56" i="7" s="1"/>
  <c r="A55" i="7" a="1"/>
  <c r="A55" i="7" s="1"/>
  <c r="A54" i="7" a="1"/>
  <c r="A54" i="7" s="1"/>
  <c r="A53" i="7" a="1"/>
  <c r="A53" i="7" s="1"/>
  <c r="A52" i="7" a="1"/>
  <c r="A52" i="7" s="1"/>
  <c r="A51" i="7" a="1"/>
  <c r="A51" i="7" s="1"/>
  <c r="A50" i="7" a="1"/>
  <c r="A50" i="7" s="1"/>
  <c r="A49" i="7" a="1"/>
  <c r="A49" i="7" s="1"/>
  <c r="A48" i="7" a="1"/>
  <c r="A48" i="7" s="1"/>
  <c r="A47" i="7" a="1"/>
  <c r="A47" i="7" s="1"/>
  <c r="A46" i="7" a="1"/>
  <c r="A46" i="7" s="1"/>
  <c r="A45" i="7" a="1"/>
  <c r="A45" i="7" s="1"/>
  <c r="A44" i="7" a="1"/>
  <c r="A44" i="7" s="1"/>
  <c r="A43" i="7" a="1"/>
  <c r="A43" i="7" s="1"/>
  <c r="A42" i="7" a="1"/>
  <c r="A42" i="7" s="1"/>
  <c r="A41" i="7" a="1"/>
  <c r="A41" i="7" s="1"/>
  <c r="B36" i="7" a="1"/>
  <c r="B36" i="7" s="1"/>
  <c r="B35" i="7" a="1"/>
  <c r="B35" i="7" s="1"/>
  <c r="B34" i="7" a="1"/>
  <c r="A36" i="7" a="1"/>
  <c r="A36" i="7" s="1"/>
  <c r="A35" i="7" a="1"/>
  <c r="A35" i="7" s="1"/>
  <c r="A34" i="7" a="1"/>
  <c r="A34" i="7" s="1"/>
  <c r="B13" i="11" a="1"/>
  <c r="B13" i="11" s="1"/>
  <c r="B14" i="11" a="1"/>
  <c r="B14" i="11" s="1"/>
  <c r="B3" i="14" a="1"/>
  <c r="B4" i="14" a="1"/>
  <c r="B7" i="12" a="1"/>
  <c r="B7" i="12" s="1"/>
  <c r="B3" i="7" a="1"/>
  <c r="B3" i="7" s="1"/>
  <c r="B4" i="7" a="1"/>
  <c r="B4" i="7" s="1"/>
  <c r="B5" i="7" a="1"/>
  <c r="B5" i="7" s="1"/>
  <c r="B6" i="7" a="1"/>
  <c r="B6" i="7" s="1"/>
  <c r="B7" i="7" a="1"/>
  <c r="B8" i="7" a="1"/>
  <c r="B8" i="7" s="1"/>
  <c r="B9" i="7" a="1"/>
  <c r="B9" i="7" s="1"/>
  <c r="B10" i="7" a="1"/>
  <c r="B10" i="7" s="1"/>
  <c r="B11" i="7" a="1"/>
  <c r="B12" i="7" a="1"/>
  <c r="B13" i="7" a="1"/>
  <c r="B14" i="7" a="1"/>
  <c r="B15" i="7" a="1"/>
  <c r="B15" i="7" s="1"/>
  <c r="B16" i="7" a="1"/>
  <c r="B16" i="7" s="1"/>
  <c r="B17" i="7" a="1"/>
  <c r="B17" i="7" s="1"/>
  <c r="B18" i="7" a="1"/>
  <c r="B19" i="7" a="1"/>
  <c r="B20" i="7" a="1"/>
  <c r="B20" i="7" s="1"/>
  <c r="B21" i="7" a="1"/>
  <c r="B21" i="7" s="1"/>
  <c r="B22" i="7" a="1"/>
  <c r="B22" i="7" s="1"/>
  <c r="B23" i="7" a="1"/>
  <c r="B23" i="7" s="1"/>
  <c r="B24" i="7" a="1"/>
  <c r="B24" i="7" s="1"/>
  <c r="B25" i="7" a="1"/>
  <c r="B25" i="7" s="1"/>
  <c r="B26" i="7" a="1"/>
  <c r="B26" i="7" s="1"/>
  <c r="B27" i="7" a="1"/>
  <c r="B27" i="7" s="1"/>
  <c r="B28" i="7" a="1"/>
  <c r="B28" i="7" s="1"/>
  <c r="B29" i="7" a="1"/>
  <c r="B29" i="7" s="1"/>
  <c r="B30" i="7" a="1"/>
  <c r="B31" i="7" a="1"/>
  <c r="B32" i="7" a="1"/>
  <c r="B32" i="7" s="1"/>
  <c r="B33" i="7" a="1"/>
  <c r="B33" i="7" s="1"/>
  <c r="B37" i="7" a="1"/>
  <c r="B37" i="7" s="1"/>
  <c r="B38" i="7" a="1"/>
  <c r="B39" i="7" a="1"/>
  <c r="B39" i="7" s="1"/>
  <c r="B40" i="7" a="1"/>
  <c r="A3" i="7" a="1"/>
  <c r="A3" i="7" s="1"/>
  <c r="A4" i="7" a="1"/>
  <c r="A4" i="7" s="1"/>
  <c r="A5" i="7" a="1"/>
  <c r="A5" i="7" s="1"/>
  <c r="A6" i="7" a="1"/>
  <c r="A6" i="7" s="1"/>
  <c r="A7" i="7" a="1"/>
  <c r="A7" i="7" s="1"/>
  <c r="A8" i="7" a="1"/>
  <c r="A8" i="7" s="1"/>
  <c r="A9" i="7" a="1"/>
  <c r="A9" i="7" s="1"/>
  <c r="A10" i="7" a="1"/>
  <c r="A10" i="7" s="1"/>
  <c r="A11" i="7" a="1"/>
  <c r="A11" i="7" s="1"/>
  <c r="A12" i="7" a="1"/>
  <c r="A12" i="7" s="1"/>
  <c r="A13" i="7" a="1"/>
  <c r="A13" i="7" s="1"/>
  <c r="A14" i="7" a="1"/>
  <c r="A14" i="7" s="1"/>
  <c r="A15" i="7" a="1"/>
  <c r="A15" i="7" s="1"/>
  <c r="A16" i="7" a="1"/>
  <c r="A16" i="7" s="1"/>
  <c r="A17" i="7" a="1"/>
  <c r="A17" i="7" s="1"/>
  <c r="A18" i="7" a="1"/>
  <c r="A18" i="7" s="1"/>
  <c r="A19" i="7" a="1"/>
  <c r="A19" i="7" s="1"/>
  <c r="A20" i="7" a="1"/>
  <c r="A20" i="7" s="1"/>
  <c r="A21" i="7" a="1"/>
  <c r="A21" i="7" s="1"/>
  <c r="A22" i="7" a="1"/>
  <c r="A22" i="7" s="1"/>
  <c r="A23" i="7" a="1"/>
  <c r="A23" i="7" s="1"/>
  <c r="A24" i="7" a="1"/>
  <c r="A24" i="7" s="1"/>
  <c r="A25" i="7" a="1"/>
  <c r="A25" i="7" s="1"/>
  <c r="A26" i="7" a="1"/>
  <c r="A26" i="7" s="1"/>
  <c r="A27" i="7" a="1"/>
  <c r="A27" i="7" s="1"/>
  <c r="A28" i="7" a="1"/>
  <c r="A28" i="7" s="1"/>
  <c r="A29" i="7" a="1"/>
  <c r="A29" i="7" s="1"/>
  <c r="A30" i="7" a="1"/>
  <c r="A30" i="7" s="1"/>
  <c r="A31" i="7" a="1"/>
  <c r="A31" i="7" s="1"/>
  <c r="A32" i="7" a="1"/>
  <c r="A32" i="7" s="1"/>
  <c r="A33" i="7" a="1"/>
  <c r="A33" i="7" s="1"/>
  <c r="A37" i="7" a="1"/>
  <c r="A37" i="7" s="1"/>
  <c r="A38" i="7" a="1"/>
  <c r="A38" i="7" s="1"/>
  <c r="A39" i="7" a="1"/>
  <c r="A39" i="7" s="1"/>
  <c r="A40" i="7" a="1"/>
  <c r="A40" i="7" s="1"/>
  <c r="B3" i="12" a="1"/>
  <c r="B3" i="12" s="1"/>
  <c r="B4" i="12" a="1"/>
  <c r="B4" i="12" s="1"/>
  <c r="B5" i="12" a="1"/>
  <c r="B5" i="12" s="1"/>
  <c r="B6" i="12" a="1"/>
  <c r="B6" i="12" s="1"/>
  <c r="B8" i="12" a="1"/>
  <c r="B8" i="12" s="1"/>
  <c r="B9" i="12" a="1"/>
  <c r="B9" i="12" s="1"/>
  <c r="B10" i="12" a="1"/>
  <c r="B10" i="12" s="1"/>
  <c r="B11" i="12" a="1"/>
  <c r="B11" i="12" s="1"/>
  <c r="B12" i="12" a="1"/>
  <c r="B12" i="12" s="1"/>
  <c r="B13" i="12" a="1"/>
  <c r="B13" i="12" s="1"/>
  <c r="B14" i="12" a="1"/>
  <c r="B14" i="12" s="1"/>
  <c r="B15" i="12" a="1"/>
  <c r="B15" i="12" s="1"/>
  <c r="B16" i="12" a="1"/>
  <c r="B16" i="12" s="1"/>
  <c r="B17" i="12" a="1"/>
  <c r="B17" i="12" s="1"/>
  <c r="B18" i="12" a="1"/>
  <c r="B18" i="12" s="1"/>
  <c r="B19" i="12" a="1"/>
  <c r="B19" i="12" s="1"/>
  <c r="B20" i="12" a="1"/>
  <c r="B20" i="12" s="1"/>
  <c r="B21" i="12" a="1"/>
  <c r="B21" i="12" s="1"/>
  <c r="B22" i="12" a="1"/>
  <c r="B22" i="12" s="1"/>
  <c r="B23" i="12" a="1"/>
  <c r="B23" i="12" s="1"/>
  <c r="B24" i="12" a="1"/>
  <c r="B24" i="12" s="1"/>
  <c r="B25" i="12" a="1"/>
  <c r="B25" i="12" s="1"/>
  <c r="B26" i="12" a="1"/>
  <c r="B26" i="12" s="1"/>
  <c r="B27" i="12" a="1"/>
  <c r="B27" i="12" s="1"/>
  <c r="B28" i="12" a="1"/>
  <c r="B28" i="12" s="1"/>
  <c r="B29" i="12" a="1"/>
  <c r="B29" i="12" s="1"/>
  <c r="B30" i="12" a="1"/>
  <c r="B30" i="12" s="1"/>
  <c r="B31" i="12" a="1"/>
  <c r="B31" i="12" s="1"/>
  <c r="B32" i="12" a="1"/>
  <c r="B32" i="12" s="1"/>
  <c r="B33" i="12" a="1"/>
  <c r="B33" i="12" s="1"/>
  <c r="B34" i="12" a="1"/>
  <c r="B34" i="12" s="1"/>
  <c r="B35" i="12" a="1"/>
  <c r="B35" i="12" s="1"/>
  <c r="B36" i="12" a="1"/>
  <c r="B36" i="12" s="1"/>
  <c r="B37" i="12" a="1"/>
  <c r="B37" i="12" s="1"/>
  <c r="J34" i="12"/>
  <c r="J35" i="12"/>
  <c r="I35" i="12" a="1"/>
  <c r="I35" i="12" s="1"/>
  <c r="I36" i="12" a="1"/>
  <c r="I36" i="12" s="1"/>
  <c r="I37" i="12" a="1"/>
  <c r="I37" i="12" s="1"/>
  <c r="J37" i="12"/>
  <c r="K37" i="12"/>
  <c r="J36" i="12"/>
  <c r="K36" i="12"/>
  <c r="K35" i="12"/>
  <c r="K3" i="12"/>
  <c r="K4" i="12"/>
  <c r="K5" i="12"/>
  <c r="K6" i="12"/>
  <c r="K7" i="12"/>
  <c r="K8" i="12"/>
  <c r="K9" i="12"/>
  <c r="K10" i="12"/>
  <c r="K11" i="12"/>
  <c r="K12" i="12"/>
  <c r="K13" i="12"/>
  <c r="K14" i="12"/>
  <c r="K15" i="12"/>
  <c r="K16" i="12"/>
  <c r="K17" i="12"/>
  <c r="K18" i="12"/>
  <c r="K19" i="12"/>
  <c r="K20" i="12"/>
  <c r="K21" i="12"/>
  <c r="K22" i="12"/>
  <c r="K23" i="12"/>
  <c r="K24" i="12"/>
  <c r="K25" i="12"/>
  <c r="K26" i="12"/>
  <c r="K27" i="12"/>
  <c r="K28" i="12"/>
  <c r="K29" i="12"/>
  <c r="K30" i="12"/>
  <c r="K31" i="12"/>
  <c r="K32" i="12"/>
  <c r="K33" i="12"/>
  <c r="K34" i="12"/>
  <c r="J3" i="12"/>
  <c r="J4" i="12"/>
  <c r="J5" i="12"/>
  <c r="J6" i="12"/>
  <c r="J7" i="12"/>
  <c r="J8" i="12"/>
  <c r="J9" i="12"/>
  <c r="J10" i="12"/>
  <c r="J11" i="12"/>
  <c r="J12" i="12"/>
  <c r="J13" i="12"/>
  <c r="J14" i="12"/>
  <c r="J15" i="12"/>
  <c r="J16" i="12"/>
  <c r="J17" i="12"/>
  <c r="J18" i="12"/>
  <c r="J19" i="12"/>
  <c r="J20" i="12"/>
  <c r="J21" i="12"/>
  <c r="J22" i="12"/>
  <c r="J23" i="12"/>
  <c r="J24" i="12"/>
  <c r="J25" i="12"/>
  <c r="J26" i="12"/>
  <c r="J27" i="12"/>
  <c r="J28" i="12"/>
  <c r="J29" i="12"/>
  <c r="J30" i="12"/>
  <c r="J31" i="12"/>
  <c r="J32" i="12"/>
  <c r="J33" i="12"/>
  <c r="I3" i="12" a="1"/>
  <c r="I3" i="12" s="1"/>
  <c r="I4" i="12" a="1"/>
  <c r="I4" i="12" s="1"/>
  <c r="I5" i="12" a="1"/>
  <c r="I5" i="12" s="1"/>
  <c r="I6" i="12" a="1"/>
  <c r="I6" i="12" s="1"/>
  <c r="I7" i="12" a="1"/>
  <c r="I7" i="12" s="1"/>
  <c r="I8" i="12" a="1"/>
  <c r="I8" i="12" s="1"/>
  <c r="I9" i="12" a="1"/>
  <c r="I9" i="12" s="1"/>
  <c r="I10" i="12" a="1"/>
  <c r="I10" i="12" s="1"/>
  <c r="I11" i="12" a="1"/>
  <c r="I11" i="12" s="1"/>
  <c r="I12" i="12" a="1"/>
  <c r="I12" i="12" s="1"/>
  <c r="I13" i="12" a="1"/>
  <c r="I13" i="12" s="1"/>
  <c r="I14" i="12" a="1"/>
  <c r="I14" i="12" s="1"/>
  <c r="I15" i="12" a="1"/>
  <c r="I15" i="12" s="1"/>
  <c r="I16" i="12" a="1"/>
  <c r="I16" i="12" s="1"/>
  <c r="I17" i="12" a="1"/>
  <c r="I17" i="12" s="1"/>
  <c r="I18" i="12" a="1"/>
  <c r="I18" i="12" s="1"/>
  <c r="I19" i="12" a="1"/>
  <c r="I19" i="12" s="1"/>
  <c r="I20" i="12" a="1"/>
  <c r="I20" i="12" s="1"/>
  <c r="I21" i="12" a="1"/>
  <c r="I21" i="12" s="1"/>
  <c r="I22" i="12" a="1"/>
  <c r="I22" i="12" s="1"/>
  <c r="I23" i="12" a="1"/>
  <c r="I23" i="12" s="1"/>
  <c r="I24" i="12" a="1"/>
  <c r="I24" i="12" s="1"/>
  <c r="I25" i="12" a="1"/>
  <c r="I25" i="12" s="1"/>
  <c r="I26" i="12" a="1"/>
  <c r="I26" i="12" s="1"/>
  <c r="I27" i="12" a="1"/>
  <c r="I27" i="12" s="1"/>
  <c r="I28" i="12" a="1"/>
  <c r="I28" i="12" s="1"/>
  <c r="I29" i="12" a="1"/>
  <c r="I29" i="12" s="1"/>
  <c r="I30" i="12" a="1"/>
  <c r="I30" i="12" s="1"/>
  <c r="I31" i="12" a="1"/>
  <c r="I31" i="12" s="1"/>
  <c r="I32" i="12" a="1"/>
  <c r="I32" i="12" s="1"/>
  <c r="I33" i="12" a="1"/>
  <c r="I33" i="12" s="1"/>
  <c r="I34" i="12" a="1"/>
  <c r="I34" i="12" s="1"/>
  <c r="B4" i="14"/>
  <c r="B3" i="14"/>
  <c r="B97" i="7"/>
  <c r="B96" i="7"/>
  <c r="B92" i="7"/>
  <c r="B91" i="7"/>
  <c r="B90" i="7"/>
  <c r="B89" i="7"/>
  <c r="B85" i="7"/>
  <c r="B84" i="7"/>
  <c r="B73" i="7"/>
  <c r="B72" i="7"/>
  <c r="B68" i="7"/>
  <c r="B61" i="7"/>
  <c r="B60" i="7"/>
  <c r="B56" i="7"/>
  <c r="B55" i="7"/>
  <c r="B54" i="7"/>
  <c r="B51" i="7"/>
  <c r="B49" i="7"/>
  <c r="B48" i="7"/>
  <c r="B40" i="7"/>
  <c r="B38" i="7"/>
  <c r="B34" i="7"/>
  <c r="B31" i="7"/>
  <c r="B30" i="7"/>
  <c r="B19" i="7"/>
  <c r="B18" i="7"/>
  <c r="B14" i="7"/>
  <c r="B13" i="7"/>
  <c r="B12" i="7"/>
  <c r="B11" i="7"/>
  <c r="B7" i="7"/>
  <c r="L15" i="12"/>
  <c r="L4"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tc={EB2D44F3-7A86-42BA-80E3-3AA15EC68564}</author>
  </authors>
  <commentList>
    <comment ref="I2" authorId="0" shapeId="0" xr:uid="{EB2D44F3-7A86-42BA-80E3-3AA15EC68564}">
      <text>
        <t>[Threaded comment]
Your version of Excel allows you to read this threaded comment; however, any edits to it will get removed if the file is opened in a newer version of Excel. Learn more: https://go.microsoft.com/fwlink/?linkid=870924
Comment:
    Hoe kan ik meer dan 1 bron koppelen?
Reply:
    Gefixt, maar met macro. Dus nu is het template een xlsm.
Reply:
    hij lijkt het nog niet te doen. De gegevensvalidatiefout kan ik niet negeren
Reply:
    Negeren kan alleen als je alle kommagescheiden waarden met de dropdown hebt ingevoerd. Invoerboodschap aangepast.
Reply:
    Handmatig (dus niet met de dropdown) iets wijzigen gaat dus niet ☹️, ook niet een bron verwijderen. In dat geval cel leegmaken en opnieuw bronnen selecteren dus.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<sst xmlns="http://schemas.openxmlformats.org/spreadsheetml/2006/main" count="121" uniqueCount="98">
  <si>
    <t>Veld</t>
  </si>
  <si>
    <t>Invulling</t>
  </si>
  <si>
    <t>Naam concept</t>
  </si>
  <si>
    <t>Conceptbeschrijving</t>
  </si>
  <si>
    <t>Doel</t>
  </si>
  <si>
    <t>Gebruiksscenario(’s)</t>
  </si>
  <si>
    <t>Representatie</t>
  </si>
  <si>
    <t>Alias(sen)</t>
  </si>
  <si>
    <t>Juist gebruik</t>
  </si>
  <si>
    <t>Onjuist gebruik</t>
  </si>
  <si>
    <t>Bouwblokcode</t>
  </si>
  <si>
    <t>ART-DECOR-id</t>
  </si>
  <si>
    <t>Field</t>
  </si>
  <si>
    <t>Input</t>
  </si>
  <si>
    <t>Concept name</t>
  </si>
  <si>
    <t>Concept description</t>
  </si>
  <si>
    <t>Purpose</t>
  </si>
  <si>
    <t>Use case(s)</t>
  </si>
  <si>
    <t>Representation</t>
  </si>
  <si>
    <t>Alias(es)</t>
  </si>
  <si>
    <t>Correct use</t>
  </si>
  <si>
    <t>Incorrect use</t>
  </si>
  <si>
    <t>Building block code</t>
  </si>
  <si>
    <t>Key</t>
  </si>
  <si>
    <t>EU of NL</t>
  </si>
  <si>
    <t>Titel</t>
  </si>
  <si>
    <t>Omschrijving</t>
  </si>
  <si>
    <t>Onderbouwing</t>
  </si>
  <si>
    <t>Variabiliteit</t>
  </si>
  <si>
    <t>Aanwezigheid</t>
  </si>
  <si>
    <t>Context voor toepassing</t>
  </si>
  <si>
    <t>Mapbaar op basismodel</t>
  </si>
  <si>
    <t>Opgenomen of niet-opgenomen</t>
  </si>
  <si>
    <t>Afgeleid van</t>
  </si>
  <si>
    <t>Opmerkingen</t>
  </si>
  <si>
    <t>EU or NL</t>
  </si>
  <si>
    <t>Title</t>
  </si>
  <si>
    <t>Description</t>
  </si>
  <si>
    <t>Rationale</t>
  </si>
  <si>
    <t>Variability</t>
  </si>
  <si>
    <t>Presence</t>
  </si>
  <si>
    <t>Context for use</t>
  </si>
  <si>
    <t>Mappable to base model</t>
  </si>
  <si>
    <t>Included or excluded information-requirements</t>
  </si>
  <si>
    <t>Derived from</t>
  </si>
  <si>
    <t>Comments</t>
  </si>
  <si>
    <t>Afkorting / abbreviation</t>
  </si>
  <si>
    <t>Verwijzing (URL) / Reference (URL)</t>
  </si>
  <si>
    <t>Naam / name</t>
  </si>
  <si>
    <t>Versie / version</t>
  </si>
  <si>
    <t>Opmerkingen/ Comments</t>
  </si>
  <si>
    <t>Titel (informatie-requirement)</t>
  </si>
  <si>
    <t>Title (informatie-requirement)</t>
  </si>
  <si>
    <t>FHIR</t>
  </si>
  <si>
    <t>openEHR</t>
  </si>
  <si>
    <t>[nog in te vullen]</t>
  </si>
  <si>
    <t>[nog in te vullen]2</t>
  </si>
  <si>
    <t>[nog in te vullen]3</t>
  </si>
  <si>
    <t>[nog in te vullen]4</t>
  </si>
  <si>
    <t>[nog in te vullen]5</t>
  </si>
  <si>
    <t>[nog in te vullen]6</t>
  </si>
  <si>
    <t>Mogelijke basismodellen</t>
  </si>
  <si>
    <t>Gekozen basismodel</t>
  </si>
  <si>
    <t>Overwegingen</t>
  </si>
  <si>
    <t>Possible base models</t>
  </si>
  <si>
    <t>Selected base model</t>
  </si>
  <si>
    <t>Considerations</t>
  </si>
  <si>
    <t>Ja</t>
  </si>
  <si>
    <t>Yes</t>
  </si>
  <si>
    <t>Nee</t>
  </si>
  <si>
    <t>No</t>
  </si>
  <si>
    <t>Opgenomen of niet-opgenomen informatiebehoefte</t>
  </si>
  <si>
    <t>Opgenomen informatiebehoefte</t>
  </si>
  <si>
    <t>Included information-requirements</t>
  </si>
  <si>
    <t>Niet-opgenomen informatiebehoefte</t>
  </si>
  <si>
    <t>Excluded information-requirements</t>
  </si>
  <si>
    <t>EU</t>
  </si>
  <si>
    <t>NL</t>
  </si>
  <si>
    <t>Bron(nen)</t>
  </si>
  <si>
    <t>Source(s)</t>
  </si>
  <si>
    <t>zib2020</t>
  </si>
  <si>
    <t>https://www.zibs.nl/wiki/Verrichting-v5.2(2020NL)</t>
  </si>
  <si>
    <t>zib Verrichting</t>
  </si>
  <si>
    <t>EHDS</t>
  </si>
  <si>
    <t>https://www.xt-ehr.eu/fhir/models/en/StructureDefinition-EHDSProcedure.html</t>
  </si>
  <si>
    <t>EHDS Procedure</t>
  </si>
  <si>
    <t>1.0.0</t>
  </si>
  <si>
    <t>Test</t>
  </si>
  <si>
    <t>tst</t>
  </si>
  <si>
    <t>Foo bar</t>
  </si>
  <si>
    <t>Baz gnu</t>
  </si>
  <si>
    <t>Wibble wobble</t>
  </si>
  <si>
    <t>Altijd</t>
  </si>
  <si>
    <t>Nooit</t>
  </si>
  <si>
    <t>Aanvullende requirement</t>
  </si>
  <si>
    <t>zib2020, EHDS</t>
  </si>
  <si>
    <t>Test requirement</t>
  </si>
  <si>
    <t>Test-vereiste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</si>
</sst>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3" x14ac:knownFonts="1">
    <font>
      <sz val="11"/>
      <color theme="1"/>
      <name val="Aptos Narrow"/>
      <family val="2"/>
      <scheme val="minor"/>
    </font>
    <font>
      <b/>
      <sz val="11"/>
      <color theme="1"/>
      <name val="Aptos Narrow"/>
      <family val="2"/>
      <scheme val="minor"/>
    </font>
    <font>
      <i/>
      <sz val="11"/>
      <color theme="1"/>
      <name val="Aptos Narrow"/>
      <family val="2"/>
      <scheme val="minor"/>
    </font>
    <font>
      <b/>
      <sz val="11"/>
      <color theme="0"/>
      <name val="Aptos Narrow"/>
      <family val="2"/>
      <scheme val="minor"/>
    </font>
    <font>
      <sz val="8"/>
      <name val="Aptos Narrow"/>
      <family val="2"/>
      <scheme val="minor"/>
    </font>
    <font>
      <sz val="11"/>
      <color theme="1"/>
      <name val="Aptos Narrow"/>
      <family val="2"/>
    </font>
    <font>
      <i/>
      <sz val="11"/>
      <color theme="1"/>
      <name val="Aptos Narrow"/>
      <family val="2"/>
    </font>
    <font>
      <b/>
      <sz val="11"/>
      <color theme="1"/>
      <name val="Aptos Narrow"/>
      <family val="2"/>
    </font>
    <font>
      <b/>
      <sz val="11"/>
      <color theme="0"/>
      <name val="Aptos Narrow"/>
      <family val="2"/>
    </font>
    <font>
      <b/>
      <i/>
      <sz val="11"/>
      <color rgb="FF375473"/>
      <name val="Aptos Narrow"/>
      <family val="2"/>
    </font>
    <font>
      <i/>
      <sz val="11"/>
      <color rgb="FF6A116A"/>
      <name val="Aptos Narrow"/>
      <family val="2"/>
      <scheme val="minor"/>
    </font>
    <font>
      <i/>
      <sz val="11"/>
      <color rgb="FF375473"/>
      <name val="Aptos Narrow"/>
      <family val="2"/>
    </font>
    <font>
      <i/>
      <sz val="11"/>
      <color rgb="FF6A116A"/>
      <name val="Aptos Narrow"/>
      <family val="2"/>
    </font>
    <font>
      <sz val="11"/>
      <color rgb="FF6A116A"/>
      <name val="Aptos Narrow"/>
      <family val="2"/>
    </font>
    <font>
      <i/>
      <sz val="11"/>
      <color theme="1" tint="0.249977111117893"/>
      <name val="Aptos Narrow"/>
      <family val="2"/>
    </font>
    <font>
      <b/>
      <i/>
      <sz val="11"/>
      <color rgb="FFC724B1"/>
      <name val="Aptos Narrow"/>
      <family val="2"/>
    </font>
    <font>
      <i/>
      <sz val="11"/>
      <color rgb="FFC724B1"/>
      <name val="Aptos Narrow"/>
      <family val="2"/>
    </font>
    <font>
      <sz val="11"/>
      <name val="Aptos Narrow"/>
      <family val="2"/>
    </font>
    <font>
      <sz val="11"/>
      <color theme="1" tint="0.249977111117893"/>
      <name val="Aptos Narrow"/>
      <family val="2"/>
      <scheme val="minor"/>
    </font>
    <font>
      <i/>
      <sz val="11"/>
      <color theme="1" tint="0.249977111117893"/>
      <name val="Aptos Narrow"/>
      <family val="2"/>
      <scheme val="minor"/>
    </font>
    <font>
      <sz val="11"/>
      <color theme="1"/>
      <name val="Aptos Narrow"/>
    </font>
    <font>
      <i/>
      <sz val="11"/>
      <color theme="1"/>
      <name val="Aptos Narrow"/>
    </font>
    <font>
      <sz val="11"/>
      <color rgb="FF6A116A"/>
      <name val="Aptos Narrow"/>
      <family val="2"/>
      <scheme val="minor"/>
    </font>
  </fonts>
  <fills count="11">
    <fill>
      <patternFill patternType="none"/>
    </fill>
    <fill>
      <patternFill patternType="gray125"/>
    </fill>
    <fill>
      <patternFill patternType="solid">
        <fgColor rgb="FFE8E6E4"/>
        <bgColor rgb="FFFFFFFF"/>
      </patternFill>
    </fill>
    <fill>
      <patternFill patternType="solid">
        <fgColor rgb="FFC724B1"/>
        <bgColor rgb="FFFFFFFF"/>
      </patternFill>
    </fill>
    <fill>
      <patternFill patternType="solid">
        <fgColor rgb="FF375473"/>
        <bgColor indexed="64"/>
      </patternFill>
    </fill>
    <fill>
      <patternFill patternType="solid">
        <fgColor rgb="FFB6C8DC"/>
        <bgColor indexed="64"/>
      </patternFill>
    </fill>
    <fill>
      <patternFill patternType="solid">
        <fgColor rgb="FFEB81EB"/>
        <bgColor indexed="64"/>
      </patternFill>
    </fill>
    <fill>
      <patternFill patternType="solid">
        <fgColor rgb="FFC724B1"/>
        <bgColor indexed="64"/>
      </patternFill>
    </fill>
    <fill>
      <patternFill patternType="solid">
        <fgColor rgb="FFF4C2ED"/>
        <bgColor indexed="64"/>
      </patternFill>
    </fill>
    <fill>
      <patternFill patternType="solid">
        <fgColor theme="1" tint="0.14999847407452621"/>
        <bgColor indexed="64"/>
      </patternFill>
    </fill>
    <fill>
      <patternFill patternType="solid">
        <fgColor theme="2"/>
        <bgColor indexed="64"/>
      </patternFill>
    </fill>
  </fills>
  <borders count="12">
    <border>
      <left/>
      <right/>
      <top/>
      <bottom/>
      <diagonal/>
    </border>
    <border>
      <left style="thin">
        <color rgb="FF83786F"/>
      </left>
      <right style="thin">
        <color rgb="FF83786F"/>
      </right>
      <top style="thin">
        <color rgb="FF83786F"/>
      </top>
      <bottom style="thin">
        <color rgb="FF83786F"/>
      </bottom>
      <diagonal/>
    </border>
    <border>
      <left/>
      <right style="thin">
        <color rgb="FF83786F"/>
      </right>
      <top style="thin">
        <color rgb="FF83786F"/>
      </top>
      <bottom style="thin">
        <color rgb="FF83786F"/>
      </bottom>
      <diagonal/>
    </border>
    <border>
      <left style="thin">
        <color rgb="FF83786F"/>
      </left>
      <right/>
      <top style="thin">
        <color rgb="FF83786F"/>
      </top>
      <bottom style="thin">
        <color rgb="FF83786F"/>
      </bottom>
      <diagonal/>
    </border>
    <border>
      <left style="thin">
        <color rgb="FF83786F"/>
      </left>
      <right/>
      <top style="thin">
        <color rgb="FF83786F"/>
      </top>
      <bottom/>
      <diagonal/>
    </border>
    <border>
      <left/>
      <right/>
      <top style="thin">
        <color rgb="FF83786F"/>
      </top>
      <bottom/>
      <diagonal/>
    </border>
    <border>
      <left/>
      <right style="thin">
        <color rgb="FF83786F"/>
      </right>
      <top style="thin">
        <color rgb="FF83786F"/>
      </top>
      <bottom/>
      <diagonal/>
    </border>
    <border>
      <left style="thin">
        <color rgb="FF83786F"/>
      </left>
      <right/>
      <top/>
      <bottom style="thin">
        <color rgb="FF83786F"/>
      </bottom>
      <diagonal/>
    </border>
    <border>
      <left/>
      <right style="thin">
        <color rgb="FF83786F"/>
      </right>
      <top/>
      <bottom style="thin">
        <color rgb="FF83786F"/>
      </bottom>
      <diagonal/>
    </border>
    <border>
      <left/>
      <right/>
      <top style="thin">
        <color rgb="FF83786F"/>
      </top>
      <bottom style="thin">
        <color rgb="FF83786F"/>
      </bottom>
      <diagonal/>
    </border>
    <border>
      <left style="thin">
        <color rgb="FF83786F"/>
      </left>
      <right style="thin">
        <color rgb="FF83786F"/>
      </right>
      <top style="thin">
        <color rgb="FF83786F"/>
      </top>
      <bottom/>
      <diagonal/>
    </border>
    <border>
      <left/>
      <right/>
      <top/>
      <bottom style="thin">
        <color rgb="FF83786F"/>
      </bottom>
      <diagonal/>
    </border>
  </borders>
  <cellStyleXfs count="2">
    <xf numFmtId="0" fontId="0" fillId="0" borderId="0"/>
    <xf numFmtId="0" fontId="5" fillId="0" borderId="0"/>
  </cellStyleXfs>
  <cellXfs count="65">
    <xf numFmtId="0" fontId="0" fillId="0" borderId="0" xfId="0"/>
    <xf numFmtId="0" fontId="2" fillId="0" borderId="0" xfId="0" applyFont="1"/>
    <xf numFmtId="0" fontId="1" fillId="0" borderId="0" xfId="0" applyFont="1"/>
    <xf numFmtId="0" fontId="0" fillId="0" borderId="0" xfId="0" applyAlignment="1">
      <alignment wrapText="1"/>
    </xf>
    <xf numFmtId="0" fontId="0" fillId="0" borderId="2" xfId="0" applyBorder="1"/>
    <xf numFmtId="0" fontId="0" fillId="0" borderId="1" xfId="0" applyBorder="1"/>
    <xf numFmtId="0" fontId="0" fillId="0" borderId="3" xfId="0" applyBorder="1"/>
    <xf numFmtId="0" fontId="5" fillId="0" borderId="0" xfId="1"/>
    <xf numFmtId="0" fontId="6" fillId="0" borderId="0" xfId="1" applyFont="1"/>
    <xf numFmtId="0" fontId="12" fillId="6" borderId="0" xfId="1" applyFont="1" applyFill="1"/>
    <xf numFmtId="0" fontId="13" fillId="6" borderId="0" xfId="1" applyFont="1" applyFill="1"/>
    <xf numFmtId="0" fontId="3" fillId="7" borderId="0" xfId="0" applyFont="1" applyFill="1"/>
    <xf numFmtId="0" fontId="10" fillId="0" borderId="9" xfId="0" applyFont="1" applyBorder="1"/>
    <xf numFmtId="0" fontId="10" fillId="0" borderId="0" xfId="0" applyFont="1"/>
    <xf numFmtId="0" fontId="0" fillId="0" borderId="9" xfId="0" applyBorder="1"/>
    <xf numFmtId="0" fontId="3" fillId="4" borderId="0" xfId="0" applyFont="1" applyFill="1"/>
    <xf numFmtId="0" fontId="10" fillId="0" borderId="5" xfId="0" applyFont="1" applyBorder="1"/>
    <xf numFmtId="0" fontId="0" fillId="0" borderId="6" xfId="0" applyBorder="1"/>
    <xf numFmtId="0" fontId="0" fillId="0" borderId="10" xfId="0" applyBorder="1"/>
    <xf numFmtId="0" fontId="0" fillId="0" borderId="4" xfId="0" applyBorder="1"/>
    <xf numFmtId="0" fontId="0" fillId="0" borderId="5" xfId="0" applyBorder="1"/>
    <xf numFmtId="0" fontId="0" fillId="9" borderId="0" xfId="0" applyFill="1"/>
    <xf numFmtId="0" fontId="18" fillId="0" borderId="0" xfId="0" applyFont="1"/>
    <xf numFmtId="0" fontId="5" fillId="0" borderId="0" xfId="1" applyAlignment="1" applyProtection="1">
      <alignment wrapText="1"/>
      <protection locked="0"/>
    </xf>
    <xf numFmtId="0" fontId="5" fillId="0" borderId="0" xfId="1" applyProtection="1">
      <protection locked="0"/>
    </xf>
    <xf numFmtId="0" fontId="7" fillId="0" borderId="0" xfId="1" applyFont="1" applyProtection="1">
      <protection locked="0"/>
    </xf>
    <xf numFmtId="0" fontId="8" fillId="4" borderId="0" xfId="1" applyFont="1" applyFill="1" applyProtection="1">
      <protection locked="0"/>
    </xf>
    <xf numFmtId="0" fontId="17" fillId="0" borderId="0" xfId="1" applyFont="1" applyProtection="1">
      <protection locked="0"/>
    </xf>
    <xf numFmtId="0" fontId="9" fillId="5" borderId="0" xfId="1" applyFont="1" applyFill="1" applyProtection="1">
      <protection locked="0"/>
    </xf>
    <xf numFmtId="0" fontId="11" fillId="0" borderId="0" xfId="1" applyFont="1"/>
    <xf numFmtId="0" fontId="14" fillId="0" borderId="0" xfId="1" applyFont="1" applyProtection="1">
      <protection locked="0"/>
    </xf>
    <xf numFmtId="0" fontId="5" fillId="0" borderId="1" xfId="1" applyBorder="1" applyProtection="1">
      <protection locked="0"/>
    </xf>
    <xf numFmtId="0" fontId="14" fillId="0" borderId="3" xfId="1" applyFont="1" applyBorder="1" applyProtection="1">
      <protection locked="0"/>
    </xf>
    <xf numFmtId="0" fontId="5" fillId="0" borderId="6" xfId="1" applyBorder="1" applyProtection="1">
      <protection locked="0"/>
    </xf>
    <xf numFmtId="0" fontId="5" fillId="0" borderId="10" xfId="1" applyBorder="1" applyProtection="1">
      <protection locked="0"/>
    </xf>
    <xf numFmtId="0" fontId="14" fillId="0" borderId="5" xfId="1" applyFont="1" applyBorder="1" applyProtection="1">
      <protection locked="0"/>
    </xf>
    <xf numFmtId="0" fontId="12" fillId="0" borderId="0" xfId="1" applyFont="1"/>
    <xf numFmtId="0" fontId="12" fillId="0" borderId="5" xfId="1" applyFont="1" applyBorder="1"/>
    <xf numFmtId="0" fontId="12" fillId="0" borderId="3" xfId="1" applyFont="1" applyBorder="1"/>
    <xf numFmtId="0" fontId="12" fillId="0" borderId="4" xfId="1" applyFont="1" applyBorder="1"/>
    <xf numFmtId="0" fontId="0" fillId="0" borderId="0" xfId="0" applyProtection="1">
      <protection locked="0"/>
    </xf>
    <xf numFmtId="0" fontId="10" fillId="6" borderId="0" xfId="0" applyFont="1" applyFill="1" applyProtection="1">
      <protection locked="0"/>
    </xf>
    <xf numFmtId="0" fontId="0" fillId="9" borderId="0" xfId="0" applyFill="1" applyProtection="1">
      <protection locked="0"/>
    </xf>
    <xf numFmtId="0" fontId="18" fillId="0" borderId="0" xfId="0" applyFont="1" applyProtection="1">
      <protection locked="0"/>
    </xf>
    <xf numFmtId="0" fontId="15" fillId="8" borderId="0" xfId="1" applyFont="1" applyFill="1" applyProtection="1">
      <protection locked="0"/>
    </xf>
    <xf numFmtId="0" fontId="16" fillId="0" borderId="0" xfId="1" applyFont="1"/>
    <xf numFmtId="0" fontId="3" fillId="4" borderId="2" xfId="0" applyFont="1" applyFill="1" applyBorder="1"/>
    <xf numFmtId="0" fontId="3" fillId="4" borderId="8" xfId="0" applyFont="1" applyFill="1" applyBorder="1"/>
    <xf numFmtId="0" fontId="3" fillId="4" borderId="6" xfId="0" applyFont="1" applyFill="1" applyBorder="1"/>
    <xf numFmtId="0" fontId="3" fillId="7" borderId="8" xfId="0" applyFont="1" applyFill="1" applyBorder="1"/>
    <xf numFmtId="0" fontId="3" fillId="7" borderId="6" xfId="0" applyFont="1" applyFill="1" applyBorder="1"/>
    <xf numFmtId="0" fontId="0" fillId="2" borderId="4" xfId="0" applyFill="1" applyBorder="1"/>
    <xf numFmtId="0" fontId="0" fillId="3" borderId="7" xfId="0" applyFill="1" applyBorder="1"/>
    <xf numFmtId="0" fontId="8" fillId="7" borderId="8" xfId="1" applyFont="1" applyFill="1" applyBorder="1" applyProtection="1">
      <protection locked="0"/>
    </xf>
    <xf numFmtId="0" fontId="8" fillId="7" borderId="6" xfId="1" applyFont="1" applyFill="1" applyBorder="1" applyProtection="1">
      <protection locked="0"/>
    </xf>
    <xf numFmtId="0" fontId="19" fillId="0" borderId="3" xfId="0" applyFont="1" applyBorder="1"/>
    <xf numFmtId="0" fontId="19" fillId="0" borderId="4" xfId="0" applyFont="1" applyBorder="1"/>
    <xf numFmtId="0" fontId="5" fillId="9" borderId="0" xfId="1" applyFill="1"/>
    <xf numFmtId="0" fontId="5" fillId="2" borderId="7" xfId="1" applyFill="1" applyBorder="1" applyProtection="1">
      <protection locked="0"/>
    </xf>
    <xf numFmtId="0" fontId="5" fillId="2" borderId="4" xfId="1" applyFill="1" applyBorder="1" applyProtection="1">
      <protection locked="0"/>
    </xf>
    <xf numFmtId="0" fontId="0" fillId="10" borderId="0" xfId="0" applyFill="1"/>
    <xf numFmtId="0" fontId="21" fillId="0" borderId="0" xfId="1" applyFont="1"/>
    <xf numFmtId="0" fontId="20" fillId="0" borderId="0" xfId="1" applyFont="1"/>
    <xf numFmtId="0" fontId="0" fillId="0" borderId="11" xfId="0" applyBorder="1"/>
    <xf numFmtId="0" fontId="22" fillId="0" borderId="11" xfId="0" applyFont="1" applyBorder="1"/>
  </cellXfs>
  <cellStyles count="2">
    <cellStyle name="Normal" xfId="0" builtinId="0"/>
    <cellStyle name="Standaard 2" xfId="1" xr:uid="{04973A16-1E2E-4B94-930F-C94A2ADFC7EF}"/>
  </cellStyles>
  <dxfs count="86">
    <dxf>
      <font>
        <b val="0"/>
        <i val="0"/>
        <strike val="0"/>
        <condense val="0"/>
        <extend val="0"/>
        <outline val="0"/>
        <shadow val="0"/>
        <u val="none"/>
        <vertAlign val="baseline"/>
        <sz val="11"/>
        <color theme="1"/>
        <name val="Aptos Narrow"/>
        <family val="2"/>
        <scheme val="none"/>
      </font>
      <numFmt numFmtId="0" formatCode="General"/>
      <fill>
        <patternFill patternType="solid">
          <fgColor rgb="FFFFFFFF"/>
          <bgColor rgb="FFE8E6E4"/>
        </patternFill>
      </fill>
      <alignment horizontal="general" vertical="bottom" textRotation="0" wrapText="0" indent="0" justifyLastLine="0" shrinkToFit="0" readingOrder="0"/>
      <border diagonalUp="0" diagonalDown="0">
        <left style="thin">
          <color rgb="FF83786F"/>
        </left>
        <right/>
        <top style="thin">
          <color rgb="FF83786F"/>
        </top>
        <bottom/>
        <vertical/>
        <horizontal/>
      </border>
      <protection locked="0" hidden="0"/>
    </dxf>
    <dxf>
      <font>
        <b/>
        <i val="0"/>
        <strike val="0"/>
        <condense val="0"/>
        <extend val="0"/>
        <outline val="0"/>
        <shadow val="0"/>
        <u val="none"/>
        <vertAlign val="baseline"/>
        <sz val="11"/>
        <color theme="0"/>
        <name val="Aptos Narrow"/>
        <family val="2"/>
        <scheme val="none"/>
      </font>
      <numFmt numFmtId="0" formatCode="General"/>
      <fill>
        <patternFill patternType="solid">
          <fgColor indexed="64"/>
          <bgColor rgb="FFC724B1"/>
        </patternFill>
      </fill>
      <alignment horizontal="general" vertical="bottom" textRotation="0" wrapText="0" indent="0" justifyLastLine="0" shrinkToFit="0" readingOrder="0"/>
      <border diagonalUp="0" diagonalDown="0">
        <left/>
        <right style="thin">
          <color rgb="FF83786F"/>
        </right>
        <top style="thin">
          <color rgb="FF83786F"/>
        </top>
        <bottom/>
        <vertical/>
        <horizontal/>
      </border>
      <protection locked="0" hidden="0"/>
    </dxf>
    <dxf>
      <border outline="0">
        <top style="thin">
          <color rgb="FF83786F"/>
        </top>
      </border>
    </dxf>
    <dxf>
      <border outline="0">
        <left style="thin">
          <color rgb="FF83786F"/>
        </left>
        <right style="thin">
          <color rgb="FF83786F"/>
        </right>
        <top style="thin">
          <color rgb="FF83786F"/>
        </top>
        <bottom style="thin">
          <color rgb="FF83786F"/>
        </bottom>
      </border>
    </dxf>
    <dxf>
      <protection locked="0" hidden="0"/>
    </dxf>
    <dxf>
      <border outline="0">
        <bottom style="thin">
          <color rgb="FF83786F"/>
        </bottom>
      </border>
    </dxf>
    <dxf>
      <protection locked="0" hidden="0"/>
    </dxf>
    <dxf>
      <numFmt numFmtId="0" formatCode="General"/>
      <protection locked="1" hidden="0"/>
    </dxf>
    <dxf>
      <font>
        <b/>
        <strike val="0"/>
        <outline val="0"/>
        <shadow val="0"/>
        <u val="none"/>
        <vertAlign val="baseline"/>
        <sz val="11"/>
        <color theme="0"/>
        <name val="Aptos Narrow"/>
        <scheme val="none"/>
      </font>
      <fill>
        <patternFill>
          <fgColor indexed="64"/>
          <bgColor rgb="FFC724B1"/>
        </patternFill>
      </fill>
      <protection locked="0" hidden="0"/>
    </dxf>
    <dxf>
      <protection locked="0" hidden="0"/>
    </dxf>
    <dxf>
      <protection locked="0" hidden="0"/>
    </dxf>
    <dxf>
      <fill>
        <patternFill patternType="solid">
          <fgColor rgb="FFFFFFFF"/>
          <bgColor rgb="FFE8E6E4"/>
        </patternFill>
      </fill>
      <border diagonalUp="0" diagonalDown="0">
        <left style="thin">
          <color rgb="FF83786F"/>
        </left>
        <right/>
        <top style="thin">
          <color rgb="FF83786F"/>
        </top>
        <bottom/>
        <vertical/>
        <horizontal/>
      </border>
    </dxf>
    <dxf>
      <font>
        <b/>
        <i val="0"/>
        <strike val="0"/>
        <condense val="0"/>
        <extend val="0"/>
        <outline val="0"/>
        <shadow val="0"/>
        <u val="none"/>
        <vertAlign val="baseline"/>
        <sz val="11"/>
        <color theme="0"/>
        <name val="Aptos Narrow"/>
        <family val="2"/>
        <scheme val="minor"/>
      </font>
      <fill>
        <patternFill patternType="solid">
          <fgColor indexed="64"/>
          <bgColor rgb="FFC724B1"/>
        </patternFill>
      </fill>
      <border diagonalUp="0" diagonalDown="0">
        <left/>
        <right style="thin">
          <color rgb="FF83786F"/>
        </right>
        <top style="thin">
          <color rgb="FF83786F"/>
        </top>
        <bottom/>
        <vertical/>
        <horizontal/>
      </border>
    </dxf>
    <dxf>
      <border outline="0">
        <top style="thin">
          <color rgb="FF83786F"/>
        </top>
      </border>
    </dxf>
    <dxf>
      <border outline="0">
        <left style="thin">
          <color rgb="FF83786F"/>
        </left>
        <right style="thin">
          <color rgb="FF83786F"/>
        </right>
        <top style="thin">
          <color rgb="FF83786F"/>
        </top>
        <bottom style="thin">
          <color rgb="FF83786F"/>
        </bottom>
      </border>
    </dxf>
    <dxf>
      <border outline="0">
        <bottom style="thin">
          <color rgb="FF83786F"/>
        </bottom>
      </border>
    </dxf>
    <dxf>
      <font>
        <b/>
        <strike val="0"/>
        <outline val="0"/>
        <shadow val="0"/>
        <u val="none"/>
        <vertAlign val="baseline"/>
        <sz val="11"/>
        <color theme="0"/>
        <name val="Aptos Narrow"/>
        <family val="2"/>
        <scheme val="minor"/>
      </font>
      <fill>
        <patternFill patternType="solid">
          <fgColor indexed="64"/>
          <bgColor rgb="FFC724B1"/>
        </patternFill>
      </fill>
    </dxf>
    <dxf>
      <font>
        <strike val="0"/>
        <outline val="0"/>
        <shadow val="0"/>
        <u val="none"/>
        <vertAlign val="baseline"/>
        <sz val="11"/>
        <color theme="1" tint="0.249977111117893"/>
        <name val="Aptos Narrow"/>
        <family val="2"/>
        <scheme val="minor"/>
      </font>
      <protection locked="0" hidden="0"/>
    </dxf>
    <dxf>
      <font>
        <strike val="0"/>
        <outline val="0"/>
        <shadow val="0"/>
        <u val="none"/>
        <vertAlign val="baseline"/>
        <sz val="11"/>
        <color theme="1" tint="0.249977111117893"/>
        <name val="Aptos Narrow"/>
        <family val="2"/>
        <scheme val="minor"/>
      </font>
      <protection locked="0" hidden="0"/>
    </dxf>
    <dxf>
      <font>
        <strike val="0"/>
        <outline val="0"/>
        <shadow val="0"/>
        <u val="none"/>
        <vertAlign val="baseline"/>
        <sz val="11"/>
        <color theme="1" tint="0.249977111117893"/>
        <name val="Aptos Narrow"/>
        <family val="2"/>
        <scheme val="minor"/>
      </font>
      <protection locked="0" hidden="0"/>
    </dxf>
    <dxf>
      <font>
        <strike val="0"/>
        <outline val="0"/>
        <shadow val="0"/>
        <u val="none"/>
        <vertAlign val="baseline"/>
        <sz val="11"/>
        <color theme="1" tint="0.249977111117893"/>
        <name val="Aptos Narrow"/>
        <family val="2"/>
        <scheme val="minor"/>
      </font>
      <protection locked="0" hidden="0"/>
    </dxf>
    <dxf>
      <font>
        <strike val="0"/>
        <outline val="0"/>
        <shadow val="0"/>
        <u val="none"/>
        <vertAlign val="baseline"/>
        <sz val="11"/>
        <color theme="1" tint="0.249977111117893"/>
        <name val="Aptos Narrow"/>
        <family val="2"/>
        <scheme val="minor"/>
      </font>
      <protection locked="0" hidden="0"/>
    </dxf>
    <dxf>
      <font>
        <strike val="0"/>
        <outline val="0"/>
        <shadow val="0"/>
        <u val="none"/>
        <vertAlign val="baseline"/>
        <sz val="11"/>
        <color theme="1" tint="0.249977111117893"/>
        <name val="Aptos Narrow"/>
        <family val="2"/>
        <scheme val="minor"/>
      </font>
      <protection locked="0" hidden="0"/>
    </dxf>
    <dxf>
      <font>
        <strike val="0"/>
        <outline val="0"/>
        <shadow val="0"/>
        <u val="none"/>
        <vertAlign val="baseline"/>
        <sz val="11"/>
        <color theme="1" tint="0.249977111117893"/>
        <name val="Aptos Narrow"/>
        <family val="2"/>
        <scheme val="minor"/>
      </font>
      <protection locked="0" hidden="0"/>
    </dxf>
    <dxf>
      <font>
        <strike val="0"/>
        <outline val="0"/>
        <shadow val="0"/>
        <u val="none"/>
        <vertAlign val="baseline"/>
        <sz val="11"/>
        <color theme="1" tint="0.249977111117893"/>
        <name val="Aptos Narrow"/>
        <family val="2"/>
        <scheme val="minor"/>
      </font>
      <protection locked="0" hidden="0"/>
    </dxf>
    <dxf>
      <font>
        <i/>
        <strike val="0"/>
        <outline val="0"/>
        <shadow val="0"/>
        <u val="none"/>
        <vertAlign val="baseline"/>
        <sz val="11"/>
        <color rgb="FF6A116A"/>
        <name val="Aptos Narrow"/>
        <family val="2"/>
        <scheme val="minor"/>
      </font>
      <numFmt numFmtId="0" formatCode="General"/>
      <protection locked="1" hidden="0"/>
    </dxf>
    <dxf>
      <font>
        <i/>
        <strike val="0"/>
        <outline val="0"/>
        <shadow val="0"/>
        <u val="none"/>
        <vertAlign val="baseline"/>
        <sz val="11"/>
        <color rgb="FF6A116A"/>
        <name val="Aptos Narrow"/>
        <family val="2"/>
        <scheme val="minor"/>
      </font>
      <numFmt numFmtId="0" formatCode="General"/>
      <protection locked="1" hidden="0"/>
    </dxf>
    <dxf>
      <protection locked="0" hidden="0"/>
    </dxf>
    <dxf>
      <protection locked="0" hidden="0"/>
    </dxf>
    <dxf>
      <font>
        <strike val="0"/>
        <outline val="0"/>
        <shadow val="0"/>
        <u val="none"/>
        <vertAlign val="baseline"/>
        <sz val="11"/>
        <color theme="1" tint="0.249977111117893"/>
        <name val="Aptos Narrow"/>
        <family val="2"/>
        <scheme val="minor"/>
      </font>
    </dxf>
    <dxf>
      <font>
        <i/>
        <strike val="0"/>
        <outline val="0"/>
        <shadow val="0"/>
        <u val="none"/>
        <vertAlign val="baseline"/>
        <sz val="11"/>
        <color theme="1" tint="0.249977111117893"/>
        <name val="Aptos Narrow"/>
        <family val="2"/>
        <scheme val="minor"/>
      </font>
      <fill>
        <patternFill patternType="none">
          <fgColor indexed="64"/>
          <bgColor auto="1"/>
        </patternFill>
      </fill>
      <border diagonalUp="0" diagonalDown="0" outline="0">
        <left style="thin">
          <color rgb="FF83786F"/>
        </left>
        <right/>
        <top style="thin">
          <color rgb="FF83786F"/>
        </top>
        <bottom style="thin">
          <color rgb="FF83786F"/>
        </bottom>
      </border>
    </dxf>
    <dxf>
      <border diagonalUp="0" diagonalDown="0">
        <left style="thin">
          <color rgb="FF83786F"/>
        </left>
        <right/>
        <top style="thin">
          <color rgb="FF83786F"/>
        </top>
        <bottom/>
        <vertical/>
        <horizontal/>
      </border>
    </dxf>
    <dxf>
      <fill>
        <patternFill patternType="none">
          <fgColor indexed="64"/>
          <bgColor auto="1"/>
        </patternFill>
      </fill>
      <border diagonalUp="0" diagonalDown="0" outline="0">
        <left style="thin">
          <color rgb="FF83786F"/>
        </left>
        <right/>
        <top style="thin">
          <color rgb="FF83786F"/>
        </top>
        <bottom style="thin">
          <color rgb="FF83786F"/>
        </bottom>
      </border>
    </dxf>
    <dxf>
      <fill>
        <patternFill patternType="none">
          <fgColor indexed="64"/>
          <bgColor auto="1"/>
        </patternFill>
      </fill>
      <border diagonalUp="0" diagonalDown="0" outline="0">
        <left/>
        <right/>
        <top style="thin">
          <color rgb="FF83786F"/>
        </top>
        <bottom style="thin">
          <color rgb="FF83786F"/>
        </bottom>
      </border>
    </dxf>
    <dxf>
      <fill>
        <patternFill patternType="none">
          <fgColor indexed="64"/>
          <bgColor auto="1"/>
        </patternFill>
      </fill>
      <border diagonalUp="0" diagonalDown="0" outline="0">
        <left style="thin">
          <color rgb="FF83786F"/>
        </left>
        <right style="thin">
          <color rgb="FF83786F"/>
        </right>
        <top style="thin">
          <color rgb="FF83786F"/>
        </top>
        <bottom style="thin">
          <color rgb="FF83786F"/>
        </bottom>
      </border>
    </dxf>
    <dxf>
      <fill>
        <patternFill patternType="none">
          <fgColor indexed="64"/>
          <bgColor auto="1"/>
        </patternFill>
      </fill>
      <border diagonalUp="0" diagonalDown="0" outline="0">
        <left style="thin">
          <color rgb="FF83786F"/>
        </left>
        <right/>
        <top style="thin">
          <color rgb="FF83786F"/>
        </top>
        <bottom style="thin">
          <color rgb="FF83786F"/>
        </bottom>
      </border>
    </dxf>
    <dxf>
      <fill>
        <patternFill patternType="none">
          <fgColor indexed="64"/>
          <bgColor auto="1"/>
        </patternFill>
      </fill>
      <border diagonalUp="0" diagonalDown="0" outline="0">
        <left style="thin">
          <color rgb="FF83786F"/>
        </left>
        <right style="thin">
          <color rgb="FF83786F"/>
        </right>
        <top style="thin">
          <color rgb="FF83786F"/>
        </top>
        <bottom style="thin">
          <color rgb="FF83786F"/>
        </bottom>
      </border>
    </dxf>
    <dxf>
      <fill>
        <patternFill patternType="none">
          <fgColor indexed="64"/>
          <bgColor auto="1"/>
        </patternFill>
      </fill>
      <border diagonalUp="0" diagonalDown="0" outline="0">
        <left style="thin">
          <color rgb="FF83786F"/>
        </left>
        <right style="thin">
          <color rgb="FF83786F"/>
        </right>
        <top style="thin">
          <color rgb="FF83786F"/>
        </top>
        <bottom style="thin">
          <color rgb="FF83786F"/>
        </bottom>
      </border>
    </dxf>
    <dxf>
      <fill>
        <patternFill patternType="none">
          <fgColor indexed="64"/>
          <bgColor auto="1"/>
        </patternFill>
      </fill>
      <border diagonalUp="0" diagonalDown="0" outline="0">
        <left style="thin">
          <color rgb="FF83786F"/>
        </left>
        <right style="thin">
          <color rgb="FF83786F"/>
        </right>
        <top style="thin">
          <color rgb="FF83786F"/>
        </top>
        <bottom style="thin">
          <color rgb="FF83786F"/>
        </bottom>
      </border>
    </dxf>
    <dxf>
      <fill>
        <patternFill patternType="none">
          <fgColor indexed="64"/>
          <bgColor auto="1"/>
        </patternFill>
      </fill>
      <border diagonalUp="0" diagonalDown="0" outline="0">
        <left style="thin">
          <color rgb="FF83786F"/>
        </left>
        <right style="thin">
          <color rgb="FF83786F"/>
        </right>
        <top style="thin">
          <color rgb="FF83786F"/>
        </top>
        <bottom style="thin">
          <color rgb="FF83786F"/>
        </bottom>
      </border>
    </dxf>
    <dxf>
      <fill>
        <patternFill patternType="none">
          <fgColor indexed="64"/>
          <bgColor auto="1"/>
        </patternFill>
      </fill>
      <border diagonalUp="0" diagonalDown="0" outline="0">
        <left/>
        <right style="thin">
          <color rgb="FF83786F"/>
        </right>
        <top style="thin">
          <color rgb="FF83786F"/>
        </top>
        <bottom style="thin">
          <color rgb="FF83786F"/>
        </bottom>
      </border>
    </dxf>
    <dxf>
      <font>
        <i/>
        <strike val="0"/>
        <outline val="0"/>
        <shadow val="0"/>
        <u val="none"/>
        <vertAlign val="baseline"/>
        <sz val="11"/>
        <color rgb="FF6A116A"/>
        <name val="Aptos Narrow"/>
        <family val="2"/>
        <scheme val="minor"/>
      </font>
      <fill>
        <patternFill patternType="none">
          <fgColor indexed="64"/>
          <bgColor auto="1"/>
        </patternFill>
      </fill>
    </dxf>
    <dxf>
      <font>
        <i/>
        <strike val="0"/>
        <outline val="0"/>
        <shadow val="0"/>
        <u val="none"/>
        <vertAlign val="baseline"/>
        <sz val="11"/>
        <color rgb="FF6A116A"/>
        <name val="Aptos Narrow"/>
        <family val="2"/>
        <scheme val="minor"/>
      </font>
      <fill>
        <patternFill patternType="none">
          <fgColor indexed="64"/>
          <bgColor auto="1"/>
        </patternFill>
      </fill>
      <border diagonalUp="0" diagonalDown="0" outline="0">
        <left/>
        <right/>
        <top style="thin">
          <color rgb="FF83786F"/>
        </top>
        <bottom style="thin">
          <color rgb="FF83786F"/>
        </bottom>
      </border>
    </dxf>
    <dxf>
      <border outline="0">
        <top style="thin">
          <color rgb="FF83786F"/>
        </top>
      </border>
    </dxf>
    <dxf>
      <border outline="0">
        <left style="thin">
          <color rgb="FF83786F"/>
        </left>
        <right style="thin">
          <color rgb="FF83786F"/>
        </right>
        <top style="thin">
          <color rgb="FF83786F"/>
        </top>
        <bottom style="thin">
          <color rgb="FF83786F"/>
        </bottom>
      </border>
    </dxf>
    <dxf>
      <border outline="0">
        <bottom style="thin">
          <color rgb="FF83786F"/>
        </bottom>
      </border>
    </dxf>
    <dxf>
      <font>
        <b val="0"/>
        <i/>
        <strike val="0"/>
        <condense val="0"/>
        <extend val="0"/>
        <outline val="0"/>
        <shadow val="0"/>
        <u val="none"/>
        <vertAlign val="baseline"/>
        <sz val="11"/>
        <color rgb="FF375473"/>
        <name val="Aptos Narrow"/>
        <family val="2"/>
        <scheme val="none"/>
      </font>
      <numFmt numFmtId="0" formatCode="General"/>
      <protection locked="1" hidden="0"/>
    </dxf>
    <dxf>
      <font>
        <b/>
        <i/>
        <strike val="0"/>
        <condense val="0"/>
        <extend val="0"/>
        <outline val="0"/>
        <shadow val="0"/>
        <u val="none"/>
        <vertAlign val="baseline"/>
        <sz val="11"/>
        <color rgb="FF375473"/>
        <name val="Aptos Narrow"/>
        <family val="2"/>
        <scheme val="none"/>
      </font>
      <fill>
        <patternFill patternType="solid">
          <fgColor indexed="64"/>
          <bgColor rgb="FFB6C8DC"/>
        </patternFill>
      </fill>
      <protection locked="0" hidden="0"/>
    </dxf>
    <dxf>
      <protection locked="0" hidden="0"/>
    </dxf>
    <dxf>
      <protection locked="0" hidden="0"/>
    </dxf>
    <dxf>
      <font>
        <i/>
        <u val="none"/>
        <sz val="11"/>
        <color theme="1"/>
        <name val="Aptos Narrow"/>
        <family val="2"/>
        <scheme val="minor"/>
      </font>
      <numFmt numFmtId="0" formatCode="General"/>
      <protection locked="0" hidden="0"/>
    </dxf>
    <dxf>
      <font>
        <b/>
        <strike val="0"/>
        <outline val="0"/>
        <shadow val="0"/>
        <u val="none"/>
        <vertAlign val="baseline"/>
        <sz val="11"/>
        <color theme="0"/>
        <name val="Aptos Narrow"/>
        <scheme val="none"/>
      </font>
      <fill>
        <patternFill patternType="solid">
          <fgColor indexed="64"/>
          <bgColor rgb="FF375473"/>
        </patternFill>
      </fill>
      <protection locked="0" hidden="0"/>
    </dxf>
    <dxf>
      <protection locked="0" hidden="0"/>
    </dxf>
    <dxf>
      <protection locked="0" hidden="0"/>
    </dxf>
    <dxf>
      <font>
        <b/>
        <i val="0"/>
        <strike val="0"/>
        <condense val="0"/>
        <extend val="0"/>
        <outline val="0"/>
        <shadow val="0"/>
        <u val="none"/>
        <vertAlign val="baseline"/>
        <sz val="11"/>
        <color theme="0"/>
        <name val="Aptos Narrow"/>
        <family val="2"/>
        <scheme val="minor"/>
      </font>
      <fill>
        <patternFill patternType="solid">
          <fgColor indexed="64"/>
          <bgColor rgb="FF375473"/>
        </patternFill>
      </fill>
      <border diagonalUp="0" diagonalDown="0">
        <left/>
        <right style="thin">
          <color rgb="FF83786F"/>
        </right>
        <top style="thin">
          <color rgb="FF83786F"/>
        </top>
        <bottom style="thin">
          <color rgb="FF83786F"/>
        </bottom>
        <vertical/>
        <horizontal/>
      </border>
    </dxf>
    <dxf>
      <border outline="0">
        <top style="thin">
          <color rgb="FF83786F"/>
        </top>
      </border>
    </dxf>
    <dxf>
      <border outline="0">
        <left style="thin">
          <color rgb="FF83786F"/>
        </left>
        <right style="thin">
          <color rgb="FF83786F"/>
        </right>
        <top style="thin">
          <color rgb="FF83786F"/>
        </top>
        <bottom style="thin">
          <color rgb="FF83786F"/>
        </bottom>
      </border>
    </dxf>
    <dxf>
      <border outline="0">
        <bottom style="thin">
          <color rgb="FF83786F"/>
        </bottom>
      </border>
    </dxf>
    <dxf>
      <font>
        <b val="0"/>
        <i/>
        <strike val="0"/>
        <condense val="0"/>
        <extend val="0"/>
        <outline val="0"/>
        <shadow val="0"/>
        <u val="none"/>
        <vertAlign val="baseline"/>
        <sz val="11"/>
        <color theme="1"/>
        <name val="Aptos Narrow"/>
        <family val="2"/>
        <scheme val="minor"/>
      </font>
    </dxf>
    <dxf>
      <font>
        <b/>
      </font>
    </dxf>
    <dxf>
      <font>
        <b/>
        <i val="0"/>
        <strike val="0"/>
        <condense val="0"/>
        <extend val="0"/>
        <outline val="0"/>
        <shadow val="0"/>
        <u val="none"/>
        <vertAlign val="baseline"/>
        <sz val="11"/>
        <color theme="1"/>
        <name val="Aptos Narrow"/>
        <family val="2"/>
        <scheme val="minor"/>
      </font>
    </dxf>
    <dxf>
      <font>
        <i/>
        <strike val="0"/>
        <outline val="0"/>
        <shadow val="0"/>
        <u val="none"/>
        <vertAlign val="baseline"/>
        <sz val="11"/>
        <color theme="1" tint="0.249977111117893"/>
        <name val="Aptos Narrow"/>
        <scheme val="none"/>
      </font>
      <fill>
        <patternFill>
          <bgColor auto="1"/>
        </patternFill>
      </fill>
      <border>
        <left/>
        <right/>
        <top style="thin">
          <color rgb="FF83786F"/>
        </top>
        <bottom style="thin">
          <color rgb="FF83786F"/>
        </bottom>
      </border>
      <protection locked="0" hidden="0"/>
    </dxf>
    <dxf>
      <font>
        <b val="0"/>
        <i/>
        <strike val="0"/>
        <condense val="0"/>
        <extend val="0"/>
        <outline val="0"/>
        <shadow val="0"/>
        <u val="none"/>
        <vertAlign val="baseline"/>
        <sz val="11"/>
        <color rgb="FF6A116A"/>
        <name val="Aptos Narrow"/>
        <family val="2"/>
        <scheme val="none"/>
      </font>
      <numFmt numFmtId="0" formatCode="General"/>
      <border diagonalUp="0" diagonalDown="0">
        <left/>
        <right/>
        <top style="thin">
          <color rgb="FF83786F"/>
        </top>
        <bottom/>
        <vertical/>
        <horizontal/>
      </border>
      <protection locked="1" hidden="0"/>
    </dxf>
    <dxf>
      <font>
        <i/>
        <strike val="0"/>
        <outline val="0"/>
        <shadow val="0"/>
        <u val="none"/>
        <vertAlign val="baseline"/>
        <sz val="11"/>
        <color rgb="FF6A116A"/>
        <name val="Aptos Narrow"/>
        <family val="2"/>
        <scheme val="none"/>
      </font>
      <numFmt numFmtId="0" formatCode="General"/>
      <fill>
        <patternFill>
          <bgColor auto="1"/>
        </patternFill>
      </fill>
      <border>
        <left/>
        <right/>
        <top style="thin">
          <color rgb="FF83786F"/>
        </top>
        <bottom style="thin">
          <color rgb="FF83786F"/>
        </bottom>
      </border>
      <protection locked="1" hidden="0"/>
    </dxf>
    <dxf>
      <font>
        <i/>
        <strike val="0"/>
        <outline val="0"/>
        <shadow val="0"/>
        <u val="none"/>
        <vertAlign val="baseline"/>
        <sz val="11"/>
        <color rgb="FF6A116A"/>
        <name val="Aptos Narrow"/>
        <scheme val="none"/>
      </font>
      <numFmt numFmtId="0" formatCode="General"/>
      <fill>
        <patternFill>
          <bgColor auto="1"/>
        </patternFill>
      </fill>
      <border>
        <left style="thin">
          <color rgb="FF83786F"/>
        </left>
        <right/>
        <top style="thin">
          <color rgb="FF83786F"/>
        </top>
        <bottom style="thin">
          <color rgb="FF83786F"/>
        </bottom>
      </border>
      <protection locked="1" hidden="0"/>
    </dxf>
    <dxf>
      <numFmt numFmtId="0" formatCode="General"/>
      <fill>
        <patternFill>
          <bgColor auto="1"/>
        </patternFill>
      </fill>
      <border>
        <left style="thin">
          <color rgb="FF83786F"/>
        </left>
        <right/>
        <top style="thin">
          <color rgb="FF83786F"/>
        </top>
        <bottom style="thin">
          <color rgb="FF83786F"/>
        </bottom>
      </border>
      <protection locked="1" hidden="0"/>
    </dxf>
    <dxf>
      <fill>
        <patternFill>
          <bgColor auto="1"/>
        </patternFill>
      </fill>
      <border>
        <left style="thin">
          <color rgb="FF83786F"/>
        </left>
        <right style="thin">
          <color rgb="FF83786F"/>
        </right>
        <top style="thin">
          <color rgb="FF83786F"/>
        </top>
        <bottom style="thin">
          <color rgb="FF83786F"/>
        </bottom>
      </border>
      <protection locked="0" hidden="0"/>
    </dxf>
    <dxf>
      <fill>
        <patternFill>
          <bgColor auto="1"/>
        </patternFill>
      </fill>
      <border>
        <left style="thin">
          <color rgb="FF83786F"/>
        </left>
        <right style="thin">
          <color rgb="FF83786F"/>
        </right>
        <top style="thin">
          <color rgb="FF83786F"/>
        </top>
        <bottom style="thin">
          <color rgb="FF83786F"/>
        </bottom>
      </border>
      <protection locked="0" hidden="0"/>
    </dxf>
    <dxf>
      <fill>
        <patternFill>
          <bgColor auto="1"/>
        </patternFill>
      </fill>
      <border>
        <left style="thin">
          <color rgb="FF83786F"/>
        </left>
        <right style="thin">
          <color rgb="FF83786F"/>
        </right>
        <top style="thin">
          <color rgb="FF83786F"/>
        </top>
        <bottom style="thin">
          <color rgb="FF83786F"/>
        </bottom>
      </border>
      <protection locked="0" hidden="0"/>
    </dxf>
    <dxf>
      <fill>
        <patternFill>
          <bgColor auto="1"/>
        </patternFill>
      </fill>
      <border>
        <left style="thin">
          <color rgb="FF83786F"/>
        </left>
        <right style="thin">
          <color rgb="FF83786F"/>
        </right>
        <top style="thin">
          <color rgb="FF83786F"/>
        </top>
        <bottom style="thin">
          <color rgb="FF83786F"/>
        </bottom>
      </border>
      <protection locked="0" hidden="0"/>
    </dxf>
    <dxf>
      <fill>
        <patternFill>
          <bgColor auto="1"/>
        </patternFill>
      </fill>
      <border>
        <left style="thin">
          <color rgb="FF83786F"/>
        </left>
        <right style="thin">
          <color rgb="FF83786F"/>
        </right>
        <top style="thin">
          <color rgb="FF83786F"/>
        </top>
        <bottom style="thin">
          <color rgb="FF83786F"/>
        </bottom>
      </border>
      <protection locked="0" hidden="0"/>
    </dxf>
    <dxf>
      <fill>
        <patternFill>
          <bgColor auto="1"/>
        </patternFill>
      </fill>
      <border>
        <left/>
        <right style="thin">
          <color rgb="FF83786F"/>
        </right>
        <top style="thin">
          <color rgb="FF83786F"/>
        </top>
        <bottom style="thin">
          <color rgb="FF83786F"/>
        </bottom>
      </border>
      <protection locked="0" hidden="0"/>
    </dxf>
    <dxf>
      <font>
        <i/>
        <strike val="0"/>
        <outline val="0"/>
        <shadow val="0"/>
        <u val="none"/>
        <vertAlign val="baseline"/>
        <sz val="11"/>
        <color rgb="FF6A116A"/>
        <name val="Aptos Narrow"/>
        <family val="2"/>
        <scheme val="none"/>
      </font>
      <numFmt numFmtId="0" formatCode="General"/>
      <fill>
        <patternFill>
          <bgColor auto="1"/>
        </patternFill>
      </fill>
      <protection locked="1" hidden="0"/>
    </dxf>
    <dxf>
      <font>
        <i/>
        <strike val="0"/>
        <outline val="0"/>
        <shadow val="0"/>
        <u val="none"/>
        <vertAlign val="baseline"/>
        <sz val="11"/>
        <color rgb="FF6A116A"/>
        <name val="Aptos Narrow"/>
        <family val="2"/>
        <scheme val="none"/>
      </font>
      <numFmt numFmtId="0" formatCode="General"/>
      <fill>
        <patternFill>
          <bgColor auto="1"/>
        </patternFill>
      </fill>
      <border>
        <left/>
        <right/>
        <top style="thin">
          <color rgb="FF83786F"/>
        </top>
        <bottom style="thin">
          <color rgb="FF83786F"/>
        </bottom>
      </border>
      <protection locked="1" hidden="0"/>
    </dxf>
    <dxf>
      <fill>
        <patternFill>
          <bgColor auto="1"/>
        </patternFill>
      </fill>
      <protection locked="0" hidden="0"/>
    </dxf>
    <dxf>
      <border>
        <bottom style="thin">
          <color rgb="FF83786F"/>
        </bottom>
      </border>
    </dxf>
    <dxf>
      <fill>
        <patternFill>
          <bgColor rgb="FFB3AEA9"/>
        </patternFill>
      </fill>
    </dxf>
    <dxf>
      <font>
        <b/>
        <i val="0"/>
        <color theme="0"/>
      </font>
      <fill>
        <patternFill>
          <bgColor rgb="FF6A116A"/>
        </patternFill>
      </fill>
    </dxf>
    <dxf>
      <fill>
        <patternFill>
          <fgColor rgb="FFFFFFFF"/>
          <bgColor rgb="FFE8E6E4"/>
        </patternFill>
      </fill>
      <border>
        <left style="thin">
          <color rgb="FF83786F"/>
        </left>
        <right style="thin">
          <color rgb="FF83786F"/>
        </right>
        <top style="thin">
          <color rgb="FF83786F"/>
        </top>
        <bottom style="thin">
          <color rgb="FF83786F"/>
        </bottom>
        <vertical style="thin">
          <color rgb="FF83786F"/>
        </vertical>
        <horizontal style="thin">
          <color rgb="FF83786F"/>
        </horizontal>
      </border>
    </dxf>
    <dxf>
      <fill>
        <patternFill>
          <bgColor rgb="FFB3AEA9"/>
        </patternFill>
      </fill>
    </dxf>
    <dxf>
      <font>
        <b/>
        <i val="0"/>
        <color theme="0"/>
      </font>
      <fill>
        <patternFill>
          <bgColor rgb="FF375473"/>
        </patternFill>
      </fill>
    </dxf>
    <dxf>
      <font>
        <b/>
        <i val="0"/>
        <color theme="0"/>
      </font>
      <fill>
        <patternFill>
          <bgColor rgb="FF375473"/>
        </patternFill>
      </fill>
    </dxf>
    <dxf>
      <fill>
        <patternFill>
          <fgColor rgb="FFFFFFFF"/>
          <bgColor rgb="FFE8E6E4"/>
        </patternFill>
      </fill>
      <border>
        <left style="thin">
          <color rgb="FF83786F"/>
        </left>
        <right style="thin">
          <color rgb="FF83786F"/>
        </right>
        <top style="thin">
          <color rgb="FF83786F"/>
        </top>
        <bottom style="thin">
          <color rgb="FF83786F"/>
        </bottom>
        <vertical style="thin">
          <color rgb="FF83786F"/>
        </vertical>
        <horizontal style="thin">
          <color rgb="FF83786F"/>
        </horizontal>
      </border>
    </dxf>
    <dxf>
      <fill>
        <patternFill>
          <bgColor rgb="FFB3AEA9"/>
        </patternFill>
      </fill>
    </dxf>
    <dxf>
      <font>
        <b/>
        <i val="0"/>
        <color theme="0"/>
      </font>
      <fill>
        <patternFill>
          <bgColor rgb="FFC724B1"/>
        </patternFill>
      </fill>
    </dxf>
    <dxf>
      <fill>
        <patternFill>
          <fgColor rgb="FFFFFFFF"/>
          <bgColor rgb="FFE8E6E4"/>
        </patternFill>
      </fill>
      <border>
        <left style="thin">
          <color rgb="FF83786F"/>
        </left>
        <right style="thin">
          <color rgb="FF83786F"/>
        </right>
        <top style="thin">
          <color rgb="FF83786F"/>
        </top>
        <bottom style="thin">
          <color rgb="FF83786F"/>
        </bottom>
        <vertical style="thin">
          <color rgb="FF83786F"/>
        </vertical>
        <horizontal style="thin">
          <color rgb="FF83786F"/>
        </horizontal>
      </border>
    </dxf>
  </dxfs>
  <tableStyles count="4" defaultTableStyle="TableStyleMedium2" defaultPivotStyle="PivotStyleLight16">
    <tableStyle name="Basismodel" pivot="0" count="3" xr9:uid="{668F95E2-E812-4A23-86DA-81BF4A39F4AD}">
      <tableStyleElement type="wholeTable" dxfId="85"/>
      <tableStyleElement type="headerRow" dxfId="84"/>
      <tableStyleElement type="secondRowStripe" dxfId="83"/>
    </tableStyle>
    <tableStyle name="Concept" pivot="0" count="4" xr9:uid="{C415D167-7D79-4D57-8B23-10290F97545D}">
      <tableStyleElement type="wholeTable" dxfId="82"/>
      <tableStyleElement type="headerRow" dxfId="81"/>
      <tableStyleElement type="firstColumn" dxfId="80"/>
      <tableStyleElement type="secondRowStripe" dxfId="79"/>
    </tableStyle>
    <tableStyle name="Informatiebehoefte" pivot="0" count="3" xr9:uid="{1CF9E373-1435-4DC2-990F-D0B8AD27F443}">
      <tableStyleElement type="wholeTable" dxfId="78"/>
      <tableStyleElement type="headerRow" dxfId="77"/>
      <tableStyleElement type="secondRowStripe" dxfId="76"/>
    </tableStyle>
    <tableStyle name="Tabelstijl 1" pivot="0" count="0" xr9:uid="{4E091AE3-DAFD-4C69-8325-B1F4CC9CDA05}"/>
  </tableStyles>
  <colors>
    <mruColors>
      <color rgb="FFC724B1"/>
      <color rgb="FF375473"/>
      <color rgb="FF6A116A"/>
      <color rgb="FFEB81EB"/>
      <color rgb="FFF4C2ED"/>
      <color rgb="FFB6C8DC"/>
      <color rgb="FFB3AEA9"/>
      <color rgb="FFA59F99"/>
      <color rgb="FFE8E6E4"/>
      <color rgb="FFB2ABA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0</xdr:col>
      <xdr:colOff>285749</xdr:colOff>
      <xdr:row>0</xdr:row>
      <xdr:rowOff>119061</xdr:rowOff>
    </xdr:from>
    <xdr:to>
      <xdr:col>0</xdr:col>
      <xdr:colOff>7877174</xdr:colOff>
      <xdr:row>19</xdr:row>
      <xdr:rowOff>9525</xdr:rowOff>
    </xdr:to>
    <xdr:sp macro="" textlink="">
      <xdr:nvSpPr>
        <xdr:cNvPr id="2" name="TextBox 1">
          <a:extLst>
            <a:ext uri="{FF2B5EF4-FFF2-40B4-BE49-F238E27FC236}">
              <a16:creationId xmlns:a16="http://schemas.microsoft.com/office/drawing/2014/main" id="{2BA8536F-B30C-0A7B-7AC5-8CCD3B69224B}"/>
            </a:ext>
          </a:extLst>
        </xdr:cNvPr>
        <xdr:cNvSpPr txBox="1"/>
      </xdr:nvSpPr>
      <xdr:spPr>
        <a:xfrm>
          <a:off x="285749" y="119061"/>
          <a:ext cx="7591425" cy="35099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100"/>
            <a:t>Het uitgangspunt dat er van elk concept binnen zorginformatie een afgebakend model is. Dit model moet precies gaan over één concept zodat het niet meerdere betekenissen kan hebben. Voorbeelden zijn patiënt, verrichting, labuitslag. Zie P3.3 van de architectuurprincipes zibs 2.0.</a:t>
          </a:r>
        </a:p>
        <a:p>
          <a:endParaRPr lang="nl-NL" sz="1100"/>
        </a:p>
        <a:p>
          <a:r>
            <a:rPr lang="nl-NL" sz="1100"/>
            <a:t>Om dit model boven water te krijgen, moet duidelijk zijn wat de informatiebehoefte is rond het concept. Daar is dit template voor bedoeld. Dit template is gebaseerd op AUCDI Release 2, maar vervolgens aangepast.</a:t>
          </a:r>
        </a:p>
        <a:p>
          <a:endParaRPr lang="nl-NL" sz="1100"/>
        </a:p>
        <a:p>
          <a:r>
            <a:rPr lang="nl-NL" sz="1100"/>
            <a:t>Doorgaans is er al een idee over afbakening van concepten. De eerste stap is om dit template in te vullen voor elk beoogd concept. Later kan blijken dat bepaalde informatie eigenlijk bij een ander concept hoort. Het opstellen van het model is dus een iteratief proces. </a:t>
          </a:r>
        </a:p>
        <a:p>
          <a:endParaRPr lang="nl-NL" sz="1100"/>
        </a:p>
        <a:p>
          <a:r>
            <a:rPr lang="nl-NL" sz="1100"/>
            <a:t>Bepaalde behoeften kunnen tijdens het modelleren bijvoorbeeld buiten scope geplaatst worden, of naar een ander concept verhuizen.</a:t>
          </a:r>
        </a:p>
        <a:p>
          <a:r>
            <a:rPr lang="nl-NL" sz="1100"/>
            <a:t>Om een uitgebreidere omschrijving van een kop te zien klik</a:t>
          </a:r>
          <a:r>
            <a:rPr lang="nl-NL" sz="1100" baseline="0"/>
            <a:t> je op de vetgedrukte titel.</a:t>
          </a:r>
        </a:p>
        <a:p>
          <a:endParaRPr lang="nl-NL" sz="1100" baseline="0"/>
        </a:p>
        <a:p>
          <a:r>
            <a:rPr lang="nl-NL" sz="1100"/>
            <a:t>Nederlands is de basis, sommige onderdelen worden automatisch overgenomen</a:t>
          </a:r>
          <a:r>
            <a:rPr lang="nl-NL" sz="1100" baseline="0"/>
            <a:t> in de engelse vertaling</a:t>
          </a:r>
          <a:endParaRPr lang="nl-NL"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161925</xdr:colOff>
      <xdr:row>0</xdr:row>
      <xdr:rowOff>223837</xdr:rowOff>
    </xdr:from>
    <xdr:to>
      <xdr:col>7</xdr:col>
      <xdr:colOff>342900</xdr:colOff>
      <xdr:row>0</xdr:row>
      <xdr:rowOff>2181225</xdr:rowOff>
    </xdr:to>
    <xdr:sp macro="" textlink="">
      <xdr:nvSpPr>
        <xdr:cNvPr id="2" name="TextBox 1">
          <a:extLst>
            <a:ext uri="{FF2B5EF4-FFF2-40B4-BE49-F238E27FC236}">
              <a16:creationId xmlns:a16="http://schemas.microsoft.com/office/drawing/2014/main" id="{D7E9BA32-9F57-9DBE-09F8-19BB04854D12}"/>
            </a:ext>
          </a:extLst>
        </xdr:cNvPr>
        <xdr:cNvSpPr txBox="1"/>
      </xdr:nvSpPr>
      <xdr:spPr>
        <a:xfrm>
          <a:off x="161925" y="223837"/>
          <a:ext cx="6705600" cy="19573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100">
              <a:solidFill>
                <a:schemeClr val="dk1"/>
              </a:solidFill>
              <a:effectLst/>
              <a:latin typeface="+mn-lt"/>
              <a:ea typeface="+mn-ea"/>
              <a:cs typeface="+mn-cs"/>
            </a:rPr>
            <a:t>Elk concept wordt geïntroduceerd met een tabel die:</a:t>
          </a:r>
        </a:p>
        <a:p>
          <a:pPr lvl="0"/>
          <a:r>
            <a:rPr lang="nl-NL" sz="1100">
              <a:solidFill>
                <a:schemeClr val="dk1"/>
              </a:solidFill>
              <a:effectLst/>
              <a:latin typeface="+mn-lt"/>
              <a:ea typeface="+mn-ea"/>
              <a:cs typeface="+mn-cs"/>
            </a:rPr>
            <a:t>Het klinische concept identificeert dat door het concept wordt weergegeven, en</a:t>
          </a:r>
          <a:br>
            <a:rPr lang="nl-NL" sz="1100">
              <a:solidFill>
                <a:schemeClr val="dk1"/>
              </a:solidFill>
              <a:effectLst/>
              <a:latin typeface="+mn-lt"/>
              <a:ea typeface="+mn-ea"/>
              <a:cs typeface="+mn-cs"/>
            </a:rPr>
          </a:br>
          <a:endParaRPr lang="nl-NL" sz="1100">
            <a:solidFill>
              <a:schemeClr val="dk1"/>
            </a:solidFill>
            <a:effectLst/>
            <a:latin typeface="+mn-lt"/>
            <a:ea typeface="+mn-ea"/>
            <a:cs typeface="+mn-cs"/>
          </a:endParaRPr>
        </a:p>
        <a:p>
          <a:pPr lvl="0"/>
          <a:r>
            <a:rPr lang="nl-NL" sz="1100">
              <a:solidFill>
                <a:schemeClr val="dk1"/>
              </a:solidFill>
              <a:effectLst/>
              <a:latin typeface="+mn-lt"/>
              <a:ea typeface="+mn-ea"/>
              <a:cs typeface="+mn-cs"/>
            </a:rPr>
            <a:t>De belangrijkste kenmerken beschrijft die relevant zijn voor de implementatie, inclusief het beoogde gebruik en veelvoorkomende fouten in gebruik.</a:t>
          </a:r>
        </a:p>
        <a:p>
          <a:r>
            <a:rPr lang="nl-NL" sz="1100">
              <a:solidFill>
                <a:schemeClr val="dk1"/>
              </a:solidFill>
              <a:effectLst/>
              <a:latin typeface="+mn-lt"/>
              <a:ea typeface="+mn-ea"/>
              <a:cs typeface="+mn-cs"/>
            </a:rPr>
            <a:t>Deze tabel is bedoeld om een aantal standaard checkvragen te beantwoorden. Deze antwoorden zullen doorgaans blijken uit de informatiebehoefte (het is dus niet zo dat eerst de tabel wordt ingevuld en daarna pas de informatiebehoefte).</a:t>
          </a:r>
          <a:endParaRPr lang="nl-NL"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161925</xdr:colOff>
      <xdr:row>0</xdr:row>
      <xdr:rowOff>223837</xdr:rowOff>
    </xdr:from>
    <xdr:ext cx="11887200" cy="1957388"/>
    <xdr:sp macro="" textlink="">
      <xdr:nvSpPr>
        <xdr:cNvPr id="2" name="TextBox 1">
          <a:extLst>
            <a:ext uri="{FF2B5EF4-FFF2-40B4-BE49-F238E27FC236}">
              <a16:creationId xmlns:a16="http://schemas.microsoft.com/office/drawing/2014/main" id="{9C5BC79C-E6A6-4762-8E3D-86D891F4AE7C}"/>
            </a:ext>
          </a:extLst>
        </xdr:cNvPr>
        <xdr:cNvSpPr>
          <a:spLocks noGrp="1"/>
        </xdr:cNvSpPr>
      </xdr:nvSpPr>
      <xdr:spPr>
        <a:xfrm>
          <a:off x="161925" y="195262"/>
          <a:ext cx="11887200" cy="1957388"/>
        </a:xfrm>
        <a:prstGeom prst="rect">
          <a:avLst/>
        </a:prstGeom>
        <a:solidFill>
          <a:schemeClr val="lt1"/>
        </a:solidFill>
        <a:ln w="9525">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anchor="t"/>
        <a:lstStyle/>
        <a:p>
          <a:r>
            <a:rPr lang="nl-NL" sz="1100">
              <a:solidFill>
                <a:schemeClr val="dk1"/>
              </a:solidFill>
              <a:effectLst/>
              <a:latin typeface="+mn-lt"/>
              <a:ea typeface="+mn-ea"/>
              <a:cs typeface="+mn-cs"/>
            </a:rPr>
            <a:t>Hier staat de Engelse</a:t>
          </a:r>
          <a:r>
            <a:rPr lang="nl-NL" sz="1100" baseline="0">
              <a:solidFill>
                <a:schemeClr val="dk1"/>
              </a:solidFill>
              <a:effectLst/>
              <a:latin typeface="+mn-lt"/>
              <a:ea typeface="+mn-ea"/>
              <a:cs typeface="+mn-cs"/>
            </a:rPr>
            <a:t> vertaling van het concept, de afwijkende rijen worden direct overgenomen of afgeleid van de Nederlandse versie en kan je hier dus niet aanpassen.</a:t>
          </a:r>
          <a:endParaRPr lang="nl-NL">
            <a:effectLst/>
          </a:endParaRP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0</xdr:col>
      <xdr:colOff>205740</xdr:colOff>
      <xdr:row>0</xdr:row>
      <xdr:rowOff>228600</xdr:rowOff>
    </xdr:from>
    <xdr:to>
      <xdr:col>2</xdr:col>
      <xdr:colOff>1977390</xdr:colOff>
      <xdr:row>0</xdr:row>
      <xdr:rowOff>1706880</xdr:rowOff>
    </xdr:to>
    <xdr:sp macro="" textlink="">
      <xdr:nvSpPr>
        <xdr:cNvPr id="13" name="TextBox 1">
          <a:extLst>
            <a:ext uri="{FF2B5EF4-FFF2-40B4-BE49-F238E27FC236}">
              <a16:creationId xmlns:a16="http://schemas.microsoft.com/office/drawing/2014/main" id="{91B98F90-F065-D25C-D33F-375EF972FAA5}"/>
            </a:ext>
          </a:extLst>
        </xdr:cNvPr>
        <xdr:cNvSpPr txBox="1"/>
      </xdr:nvSpPr>
      <xdr:spPr>
        <a:xfrm>
          <a:off x="205740" y="228600"/>
          <a:ext cx="4575810" cy="14782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a:solidFill>
                <a:schemeClr val="dk1"/>
              </a:solidFill>
              <a:latin typeface="+mn-lt"/>
              <a:ea typeface="+mn-lt"/>
              <a:cs typeface="+mn-lt"/>
            </a:rPr>
            <a:t>Voor het concept wordt een beschrijving gemaakt van alle informatie waar behoefte aan is. Dit wordt uitgesplitst in individuele elementen, zoals een “datum” of “periode”, een “categorie”, etc.</a:t>
          </a:r>
        </a:p>
        <a:p>
          <a:pPr marL="0" indent="0"/>
          <a:endParaRPr lang="en-US" sz="1100">
            <a:solidFill>
              <a:schemeClr val="dk1"/>
            </a:solidFill>
            <a:latin typeface="+mn-lt"/>
            <a:ea typeface="+mn-lt"/>
            <a:cs typeface="+mn-lt"/>
          </a:endParaRPr>
        </a:p>
        <a:p>
          <a:pPr marL="0" indent="0"/>
          <a:r>
            <a:rPr lang="en-US" sz="1100">
              <a:solidFill>
                <a:schemeClr val="dk1"/>
              </a:solidFill>
              <a:latin typeface="+mn-lt"/>
              <a:ea typeface="+mn-lt"/>
              <a:cs typeface="+mn-lt"/>
            </a:rPr>
            <a:t>Het gaat hier nog om een </a:t>
          </a:r>
          <a:r>
            <a:rPr lang="en-US" sz="1100" i="1">
              <a:solidFill>
                <a:schemeClr val="dk1"/>
              </a:solidFill>
              <a:latin typeface="+mn-lt"/>
              <a:ea typeface="+mn-lt"/>
              <a:cs typeface="+mn-lt"/>
            </a:rPr>
            <a:t>beschrijving</a:t>
          </a:r>
          <a:r>
            <a:rPr lang="en-US" sz="1100">
              <a:solidFill>
                <a:schemeClr val="dk1"/>
              </a:solidFill>
              <a:latin typeface="+mn-lt"/>
              <a:ea typeface="+mn-lt"/>
              <a:cs typeface="+mn-lt"/>
            </a:rPr>
            <a:t> van de behoefte (</a:t>
          </a:r>
          <a:r>
            <a:rPr lang="en-US" sz="1100" i="1">
              <a:solidFill>
                <a:schemeClr val="dk1"/>
              </a:solidFill>
              <a:latin typeface="+mn-lt"/>
              <a:ea typeface="+mn-lt"/>
              <a:cs typeface="+mn-lt"/>
            </a:rPr>
            <a:t>requirements</a:t>
          </a:r>
          <a:r>
            <a:rPr lang="en-US" sz="1100">
              <a:solidFill>
                <a:schemeClr val="dk1"/>
              </a:solidFill>
              <a:latin typeface="+mn-lt"/>
              <a:ea typeface="+mn-lt"/>
              <a:cs typeface="+mn-lt"/>
            </a:rPr>
            <a:t>), en niet per se wat het uiteindelijke data-element zal worden. Uiteindelijk moet er een logisch model gekozen worden dat alle behoeften kan afdekken, maar daarvoor is het eerst nodig om eenduidig te weten waar behoefte aan is.</a:t>
          </a:r>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4</xdr:col>
      <xdr:colOff>129540</xdr:colOff>
      <xdr:row>0</xdr:row>
      <xdr:rowOff>73341</xdr:rowOff>
    </xdr:from>
    <xdr:ext cx="6638925" cy="1795463"/>
    <xdr:sp macro="" textlink="">
      <xdr:nvSpPr>
        <xdr:cNvPr id="2" name="TextBox 1">
          <a:extLst>
            <a:ext uri="{FF2B5EF4-FFF2-40B4-BE49-F238E27FC236}">
              <a16:creationId xmlns:a16="http://schemas.microsoft.com/office/drawing/2014/main" id="{B5803F5A-1554-4E94-BF23-21416E076346}"/>
            </a:ext>
          </a:extLst>
        </xdr:cNvPr>
        <xdr:cNvSpPr>
          <a:spLocks noGrp="1"/>
        </xdr:cNvSpPr>
      </xdr:nvSpPr>
      <xdr:spPr>
        <a:xfrm>
          <a:off x="9075420" y="73341"/>
          <a:ext cx="6638925" cy="1795463"/>
        </a:xfrm>
        <a:prstGeom prst="rect">
          <a:avLst/>
        </a:prstGeom>
        <a:solidFill>
          <a:schemeClr val="lt1"/>
        </a:solidFill>
        <a:ln w="9525">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anchor="t"/>
        <a:lstStyle/>
        <a:p>
          <a:r>
            <a:rPr lang="nl-NL" sz="1100">
              <a:solidFill>
                <a:schemeClr val="dk1"/>
              </a:solidFill>
              <a:latin typeface="+mn-lt"/>
              <a:ea typeface="+mn-lt"/>
              <a:cs typeface="+mn-lt"/>
            </a:rPr>
            <a:t>Hier staat de Engelse</a:t>
          </a:r>
          <a:r>
            <a:rPr lang="nl-NL" sz="1100" baseline="0">
              <a:solidFill>
                <a:schemeClr val="dk1"/>
              </a:solidFill>
              <a:latin typeface="+mn-lt"/>
              <a:ea typeface="+mn-lt"/>
              <a:cs typeface="+mn-lt"/>
            </a:rPr>
            <a:t> vertaling van de informatiebehoefte, de afwijkende kolommen worden direct overgenomen of afgeleid van de Nederlandse versie en kan je hier dus niet aanpassen.</a:t>
          </a:r>
        </a:p>
        <a:p>
          <a:r>
            <a:rPr lang="nl-NL" sz="1100" baseline="0">
              <a:solidFill>
                <a:schemeClr val="dk1"/>
              </a:solidFill>
              <a:latin typeface="+mn-lt"/>
              <a:ea typeface="+mn-lt"/>
              <a:cs typeface="+mn-lt"/>
            </a:rPr>
            <a:t>Let op: maak zelf extra rijen aan hier als dat nodig is.</a:t>
          </a:r>
          <a:endParaRPr/>
        </a:p>
      </xdr:txBody>
    </xdr:sp>
    <xdr:clientData/>
  </xdr:oneCellAnchor>
</xdr:wsDr>
</file>

<file path=xl/persons/person.xml><?xml version="1.0" encoding="utf-8"?>
<personList xmlns="http://schemas.microsoft.com/office/spreadsheetml/2018/threadedcomments" xmlns:x="http://schemas.openxmlformats.org/spreadsheetml/2006/main">
  <person displayName="Jacob Engel" id="{89D49C61-D955-432C-8076-A41806F31FF8}" userId="S::jacob.engel@nictiz.nl::885b739e-f9a0-4125-af94-282ef9c5d813" providerId="AD"/>
  <person displayName="Tessa van Dée" id="{5F38B65F-1853-4114-800D-AE25C63C1763}" userId="S::tessa.vandee@nictiz.nl::2a74e212-1cb8-4014-9bae-739f003f11fe" providerId="AD"/>
  <person displayName="Taco Spitters" id="{B1DC449D-0C92-4A94-A969-103C4B8027D7}" userId="S::taco.spitters@nictiz.nl::eff47e48-8544-4500-97c8-7e55e3c068e7"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AAFA06B-D8A6-4195-9BF6-0C73A2D19BAD}" name="Concept_NL" displayName="Concept_NL" ref="A2:B10" totalsRowShown="0" headerRowDxfId="60">
  <autoFilter ref="A2:B10" xr:uid="{2AAFA06B-D8A6-4195-9BF6-0C73A2D19BAD}"/>
  <tableColumns count="2">
    <tableColumn id="1" xr3:uid="{76F5BACC-B681-4C44-9D06-F6228F74B5ED}" name="Veld" dataDxfId="59"/>
    <tableColumn id="2" xr3:uid="{85A1F17C-0928-4A45-8474-529CCCCF3C0B}" name="Invulling" dataDxfId="58"/>
  </tableColumns>
  <tableStyleInfo name="Concep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25B9E96-01F1-4EE7-99D3-185133870CB8}" name="Concept_kenmerk_NL" displayName="Concept_kenmerk_NL" ref="A12:B14" totalsRowShown="0" headerRowBorderDxfId="57" tableBorderDxfId="56" totalsRowBorderDxfId="55">
  <autoFilter ref="A12:B14" xr:uid="{C25B9E96-01F1-4EE7-99D3-185133870CB8}"/>
  <tableColumns count="2">
    <tableColumn id="1" xr3:uid="{AAE7734E-ACAA-488A-A166-FD4202EC4F42}" name="Veld" dataDxfId="54"/>
    <tableColumn id="2" xr3:uid="{3AAED3BA-0576-44A7-9C4F-A99D7D216AA1}" name="Invulling"/>
  </tableColumns>
  <tableStyleInfo name="Concept"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BFF9F6F-D240-496F-BA0E-BD4FAFC51AA4}" name="Concept_ENG" displayName="Concept_ENG" ref="A2:B10" totalsRowShown="0" headerRowDxfId="53" dataDxfId="52">
  <autoFilter ref="A2:B10" xr:uid="{00000000-0009-0000-0100-000003000000}"/>
  <tableColumns count="2">
    <tableColumn id="1" xr3:uid="{00000000-0010-0000-0000-000001000000}" name="Field" dataDxfId="51" dataCellStyle="Standaard 2"/>
    <tableColumn id="2" xr3:uid="{00000000-0010-0000-0000-000002000000}" name="Input" dataDxfId="50"/>
  </tableColumns>
  <tableStyleInfo name="Concept"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9811064-F111-4D93-B977-8501872A2727}" name="Tabel11" displayName="Tabel11" ref="A12:B14" totalsRowShown="0" headerRowDxfId="49" dataDxfId="48">
  <autoFilter ref="A12:B14" xr:uid="{D9811064-F111-4D93-B977-8501872A2727}"/>
  <tableColumns count="2">
    <tableColumn id="1" xr3:uid="{A11428A4-3298-4C4B-AD25-04E5010689F2}" name="Field" dataDxfId="47" dataCellStyle="Standaard 2"/>
    <tableColumn id="2" xr3:uid="{A4F38F4D-D093-4598-8C39-233FF2C6FFE6}" name="Input" dataDxfId="46" dataCellStyle="Standaard 2">
      <calculatedColumnFormula array="1">IFERROR(IF(INDEX(Concept_kenmerk_NL[Invulling],ROW()-12)="","[Automatic]",INDEX(Concept_kenmerk_NL[Invulling],ROW()-12)),"[Automatic]")</calculatedColumnFormula>
    </tableColumn>
  </tableColumns>
  <tableStyleInfo name="Concept"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588E4A6-D11E-41ED-885C-82C2A1D43A6F}" name="Informatiebehoefte_NL" displayName="Informatiebehoefte_NL" ref="A2:M36" totalsRowShown="0" headerRowBorderDxfId="45" tableBorderDxfId="44" totalsRowBorderDxfId="43">
  <autoFilter ref="A2:M36" xr:uid="{A588E4A6-D11E-41ED-885C-82C2A1D43A6F}"/>
  <tableColumns count="13">
    <tableColumn id="1" xr3:uid="{B6FD1A13-CC0B-4A42-B011-DD32172ACC98}" name="Key" dataDxfId="42"/>
    <tableColumn id="12" xr3:uid="{5B5D686D-03C0-4897-AC82-1372FB788C7E}" name="EU of NL" dataDxfId="41"/>
    <tableColumn id="2" xr3:uid="{FB1B1932-1EF5-46F5-BB96-BAAA6B117636}" name="Titel" dataDxfId="40"/>
    <tableColumn id="9" xr3:uid="{66F89F04-8513-4A7F-8E79-53CC4E71DC30}" name="Omschrijving" dataDxfId="39"/>
    <tableColumn id="3" xr3:uid="{1DC5060C-FB5B-4ADF-A084-1E7AD539520B}" name="Onderbouwing" dataDxfId="38"/>
    <tableColumn id="4" xr3:uid="{7B0002DE-BAE8-446B-8CCE-8FD816B9095E}" name="Variabiliteit" dataDxfId="37"/>
    <tableColumn id="5" xr3:uid="{8CF91418-2F79-42C5-8B01-54EF0B427149}" name="Aanwezigheid" dataDxfId="36"/>
    <tableColumn id="6" xr3:uid="{C6512283-FDA5-4F50-A49A-36F75F3080B2}" name="Context voor toepassing" dataDxfId="35"/>
    <tableColumn id="7" xr3:uid="{A14E69F9-AB3D-4C94-AFD9-EF0B62F62AD4}" name="Bron(nen)" dataDxfId="34"/>
    <tableColumn id="11" xr3:uid="{0D7A2B1F-BC86-415D-82B0-80DF50A83E83}" name="Mapbaar op basismodel" dataDxfId="33"/>
    <tableColumn id="10" xr3:uid="{C820E1A1-566B-4F9A-8CDC-39B23C57F6A7}" name="Opgenomen of niet-opgenomen" dataDxfId="32"/>
    <tableColumn id="13" xr3:uid="{016CCC22-FD43-4F10-AE8F-3CB73FF07228}" name="Afgeleid van" dataDxfId="31"/>
    <tableColumn id="8" xr3:uid="{FA69D649-D567-472A-BC7A-AA2B16A83508}" name="Opmerkingen" dataDxfId="30"/>
  </tableColumns>
  <tableStyleInfo name="Informatiebehoeft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1C25D63-A93D-4762-B53F-045173792121}" name="Informatiebehoefte_ENG" displayName="Informatiebehoefte_ENG" ref="A2:M37" totalsRowShown="0" dataDxfId="74" headerRowBorderDxfId="75">
  <autoFilter ref="A2:M37" xr:uid="{00000000-0009-0000-0100-000001000000}"/>
  <tableColumns count="13">
    <tableColumn id="1" xr3:uid="{00000000-0010-0000-0100-000001000000}" name="Key" dataDxfId="73">
      <calculatedColumnFormula array="1">IFERROR(IF(INDEX(Informatiebehoefte_NL[Key],ROW()-2)="","[Automatic]",INDEX(Informatiebehoefte_NL[Key],ROW()-2)),"[Automatic]")</calculatedColumnFormula>
    </tableColumn>
    <tableColumn id="12" xr3:uid="{00000000-0010-0000-0100-00000C000000}" name="EU or NL" dataDxfId="72">
      <calculatedColumnFormula array="1">IFERROR(IF(INDEX(Informatiebehoefte_NL[EU of NL],ROW()-2)="","[Automatic]",INDEX(Informatiebehoefte_NL[EU of NL],ROW()-2)),"[Automatic]")</calculatedColumnFormula>
    </tableColumn>
    <tableColumn id="2" xr3:uid="{00000000-0010-0000-0100-000002000000}" name="Title" dataDxfId="71"/>
    <tableColumn id="9" xr3:uid="{00000000-0010-0000-0100-000009000000}" name="Description" dataDxfId="70"/>
    <tableColumn id="3" xr3:uid="{00000000-0010-0000-0100-000003000000}" name="Rationale" dataDxfId="69"/>
    <tableColumn id="4" xr3:uid="{00000000-0010-0000-0100-000004000000}" name="Variability" dataDxfId="68"/>
    <tableColumn id="5" xr3:uid="{00000000-0010-0000-0100-000005000000}" name="Presence" dataDxfId="67"/>
    <tableColumn id="6" xr3:uid="{00000000-0010-0000-0100-000006000000}" name="Context for use" dataDxfId="66"/>
    <tableColumn id="7" xr3:uid="{00000000-0010-0000-0100-000007000000}" name="Source(s)" dataDxfId="65">
      <calculatedColumnFormula array="1">IF(IFERROR(INDEX(Informatiebehoefte_NL[Bron(nen)],ROW()-2),"")="","[Automatic]",IFERROR(INDEX(Informatiebehoefte_NL[Bron(nen)],ROW()-2),""))</calculatedColumnFormula>
    </tableColumn>
    <tableColumn id="11" xr3:uid="{00000000-0010-0000-0100-00000B000000}" name="Mappable to base model" dataDxfId="64">
      <calculatedColumnFormula>_xlfn.IFNA(VLOOKUP(Informatiebehoefte_NL[[#This Row],[Mapbaar op basismodel]],'Drop down menu''s'!$A$3:$B$4,2,FALSE),"[Automatic]")</calculatedColumnFormula>
    </tableColumn>
    <tableColumn id="10" xr3:uid="{00000000-0010-0000-0100-00000A000000}" name="Included or excluded information-requirements" dataDxfId="63">
      <calculatedColumnFormula>_xlfn.IFNA(VLOOKUP(Informatiebehoefte_NL[[#This Row],[Opgenomen of niet-opgenomen]],'Drop down menu''s'!$A$10:$B$11,2,FALSE),"[Automatic]")</calculatedColumnFormula>
    </tableColumn>
    <tableColumn id="13" xr3:uid="{544634D8-38DD-4784-8DB7-8741DA02817B}" name="Derived from" dataDxfId="62" dataCellStyle="Standaard 2">
      <calculatedColumnFormula array="1">IFERROR(IF(INDEX(Informatiebehoefte_NL[Afgeleid van],ROW()-2)="","[Automatic]",INDEX(Informatiebehoefte_NL[Afgeleid van],ROW()-2)),"[Automatic]")</calculatedColumnFormula>
    </tableColumn>
    <tableColumn id="8" xr3:uid="{00000000-0010-0000-0100-000008000000}" name="Comments" dataDxfId="61"/>
  </tableColumns>
  <tableStyleInfo name="Informatiebehoefte"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E5EF7C7-E0AF-4D39-894E-6B21679691A1}" name="Bronnen" displayName="Bronnen" ref="A2:E31" totalsRowShown="0">
  <autoFilter ref="A2:E31" xr:uid="{DE5EF7C7-E0AF-4D39-894E-6B21679691A1}"/>
  <tableColumns count="5">
    <tableColumn id="1" xr3:uid="{6ED92AEC-B4E7-4E65-9621-A6435F73A83B}" name="Afkorting / abbreviation"/>
    <tableColumn id="2" xr3:uid="{8338A683-A994-4DCF-80D9-B8013C140938}" name="Verwijzing (URL) / Reference (URL)"/>
    <tableColumn id="3" xr3:uid="{D36EB654-1C85-4197-9EC6-ED23F6DD32FB}" name="Naam / name"/>
    <tableColumn id="4" xr3:uid="{23C06195-0663-49AE-8343-92ADF7227C52}" name="Versie / version"/>
    <tableColumn id="5" xr3:uid="{9B0E6029-29CF-408A-829D-00B17C4245F2}" name="Opmerkingen/ Comments" dataDxfId="29"/>
  </tableColumns>
  <tableStyleInfo name="Informatiebehoefte"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5A33524-44C5-45D6-9390-D8BCA2DD3294}" name="Tracability" displayName="Tracability" ref="A2:J101" totalsRowShown="0" headerRowDxfId="28" dataDxfId="27">
  <autoFilter ref="A2:J101" xr:uid="{D5A33524-44C5-45D6-9390-D8BCA2DD3294}"/>
  <tableColumns count="10">
    <tableColumn id="9" xr3:uid="{90C80F77-67F0-4F6D-9DF7-7CB4674CB76E}" name="Titel (informatie-requirement)" dataDxfId="26">
      <calculatedColumnFormula array="1">IFERROR(IF(INDEX(Informatiebehoefte_NL[Titel],ROW()-2)="","[Automatic]",INDEX(Informatiebehoefte_NL[Titel],ROW()-2)),"[Automatic]")</calculatedColumnFormula>
    </tableColumn>
    <tableColumn id="10" xr3:uid="{986F4266-87A2-42D9-B243-AAD7B85D8623}" name="Title (informatie-requirement)" dataDxfId="25">
      <calculatedColumnFormula array="1">IFERROR(IF(INDEX(Informatiebehoefte_ENG[Title],ROW()-2)="","[Automatic]",INDEX(Informatiebehoefte_ENG[Title],ROW()-2)),"[Automatic]")</calculatedColumnFormula>
    </tableColumn>
    <tableColumn id="1" xr3:uid="{79B2A0D5-115B-492C-AD49-118313AE93E0}" name="FHIR" dataDxfId="24"/>
    <tableColumn id="2" xr3:uid="{0C77E941-8628-4EDD-85B8-42C2B1E71B7B}" name="openEHR" dataDxfId="23"/>
    <tableColumn id="3" xr3:uid="{BBA7B196-54BF-4AF5-BEA8-96C9D14B048F}" name="[nog in te vullen]" dataDxfId="22"/>
    <tableColumn id="4" xr3:uid="{4359EF29-83F1-4F7A-ADC8-92391FAEAB54}" name="[nog in te vullen]2" dataDxfId="21"/>
    <tableColumn id="5" xr3:uid="{68CC3E33-2F51-426F-AC83-6DAD681D37BD}" name="[nog in te vullen]3" dataDxfId="20"/>
    <tableColumn id="6" xr3:uid="{076F1FBF-4DDD-498A-9BA7-0079BC20A1C4}" name="[nog in te vullen]4" dataDxfId="19"/>
    <tableColumn id="7" xr3:uid="{B2F60E75-22BB-4D47-B5C7-1DC4D5B29EC1}" name="[nog in te vullen]5" dataDxfId="18"/>
    <tableColumn id="8" xr3:uid="{BAE6329E-FEAD-4DB5-B0DE-ED2AA612E248}" name="[nog in te vullen]6" dataDxfId="17"/>
  </tableColumns>
  <tableStyleInfo name="Informatiebehoefte"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088D629-0417-4A50-9C51-F3FD0C498D63}" name="Basismodel_NL" displayName="Basismodel_NL" ref="A2:B4" totalsRowShown="0">
  <autoFilter ref="A2:B4" xr:uid="{8088D629-0417-4A50-9C51-F3FD0C498D63}"/>
  <tableColumns count="2">
    <tableColumn id="1" xr3:uid="{5B20710C-DE4A-4F49-8BA3-E888020381A6}" name="Veld" dataDxfId="16"/>
    <tableColumn id="2" xr3:uid="{DBE59D81-5C23-4EF1-BC2D-B03E20D31AD6}" name="Invulling"/>
  </tableColumns>
  <tableStyleInfo name="Basismodel"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5CBB38F-4C5F-461A-8B6E-5324DB1790DE}" name="Tabel13" displayName="Tabel13" ref="A6:B7" totalsRowShown="0" headerRowBorderDxfId="15" tableBorderDxfId="14" totalsRowBorderDxfId="13">
  <autoFilter ref="A6:B7" xr:uid="{F5CBB38F-4C5F-461A-8B6E-5324DB1790DE}"/>
  <tableColumns count="2">
    <tableColumn id="1" xr3:uid="{29C7076B-B0E2-4630-9921-273326310C07}" name="Veld" dataDxfId="12"/>
    <tableColumn id="2" xr3:uid="{64B95A37-E67F-4F27-A610-EEBC8575EFC5}" name="Invulling" dataDxfId="11"/>
  </tableColumns>
  <tableStyleInfo name="Basismodel"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616A17D-A9A6-4D14-963B-8C86CAD5967A}" name="Basismodel_ENG" displayName="Basismodel_ENG" ref="A2:B4" totalsRowShown="0" headerRowDxfId="10" dataDxfId="9">
  <autoFilter ref="A2:B4" xr:uid="{00000000-0009-0000-0100-000004000000}"/>
  <tableColumns count="2">
    <tableColumn id="1" xr3:uid="{00000000-0010-0000-0400-000001000000}" name="Field" dataDxfId="8"/>
    <tableColumn id="2" xr3:uid="{00000000-0010-0000-0400-000002000000}" name="Input" dataDxfId="7">
      <calculatedColumnFormula array="1">IFERROR(IF(INDEX(Basismodel_NL[Invulling],ROW()-2)="","[Automatic]",INDEX(Basismodel_NL[Invulling],ROW()-2)),"[Automatic]")</calculatedColumnFormula>
    </tableColumn>
  </tableColumns>
  <tableStyleInfo name="Basismodel"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5670ACB-4BA3-4EFB-9290-AFEC3E77287C}" name="Considerations" displayName="Considerations" ref="A6:B7" totalsRowShown="0" headerRowDxfId="6" dataDxfId="4" headerRowBorderDxfId="5" tableBorderDxfId="3" totalsRowBorderDxfId="2">
  <autoFilter ref="A6:B7" xr:uid="{85670ACB-4BA3-4EFB-9290-AFEC3E77287C}"/>
  <tableColumns count="2">
    <tableColumn id="1" xr3:uid="{397161C3-4A8E-44E1-B673-C02169CB7EAE}" name="Field" dataDxfId="1" dataCellStyle="Standaard 2"/>
    <tableColumn id="2" xr3:uid="{730DA6CC-D0F7-4280-83A7-31B24EBE76AA}" name="Input" dataDxfId="0" dataCellStyle="Standaard 2"/>
  </tableColumns>
  <tableStyleInfo name="Basismodel"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I2" dT="2026-10-05T14:55:14.44" personId="{B1DC449D-0C92-4A94-A969-103C4B8027D7}" id="{EB2D44F3-7A86-42BA-80E3-3AA15EC68564}">
    <text>Hoe kan ik meer dan 1 bron koppelen?</text>
  </threadedComment>
  <threadedComment ref="I2" dT="2026-10-06T15:20:13.31" personId="{89D49C61-D955-432C-8076-A41806F31FF8}" id="{45E90264-C9E6-438C-AAEC-D1D8A66FA865}" parentId="{EB2D44F3-7A86-42BA-80E3-3AA15EC68564}">
    <text>Gefixt, maar met macro. Dus nu is het template een xlsm.</text>
  </threadedComment>
  <threadedComment ref="I2" dT="2026-10-09T06:19:57.01" personId="{5F38B65F-1853-4114-800D-AE25C63C1763}" id="{F7DF1F86-5F3D-4A33-BF18-49A6108C8D3A}" parentId="{EB2D44F3-7A86-42BA-80E3-3AA15EC68564}">
    <text>hij lijkt het nog niet te doen. De gegevensvalidatiefout kan ik niet negeren</text>
  </threadedComment>
  <threadedComment ref="I2" dT="2026-10-12T08:09:30.72" personId="{89D49C61-D955-432C-8076-A41806F31FF8}" id="{EE0ECD4D-8F14-49F6-964F-C4BA7A150B55}" parentId="{EB2D44F3-7A86-42BA-80E3-3AA15EC68564}">
    <text>Negeren kan alleen als je alle kommagescheiden waarden met de dropdown hebt ingevoerd. Invoerboodschap aangepast.</text>
  </threadedComment>
  <threadedComment ref="I2" dT="2026-10-15T13:23:47.61" personId="{89D49C61-D955-432C-8076-A41806F31FF8}" id="{8997DF12-72A6-4567-9E89-89DA4CC82BF9}" parentId="{EB2D44F3-7A86-42BA-80E3-3AA15EC68564}">
    <text>Handmatig (dus niet met de dropdown) iets wijzigen gaat dus niet ☹️, ook niet een bron verwijderen. In dat geval cel leegmaken en opnieuw bronnen selecteren dus.</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013F7-63B2-4F83-92B0-1C8153859891}">
  <sheetPr codeName="Blad1"/>
  <dimension ref="A1"/>
  <sheetViews>
    <sheetView workbookViewId="0">
      <selection activeCell="A26" sqref="A26"/>
    </sheetView>
  </sheetViews>
  <sheetFormatPr defaultColWidth="8.85546875" defaultRowHeight="15" x14ac:dyDescent="0.25"/>
  <cols>
    <col min="1" max="1" width="218.42578125" customWidth="1"/>
  </cols>
  <sheetData>
    <row r="1" spans="1:1" ht="15" customHeight="1" x14ac:dyDescent="0.25">
      <c r="A1" s="3"/>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1E3B3-D087-4A2B-920B-9BA971FAD64B}">
  <sheetPr codeName="Blad2">
    <tabColor rgb="FF375473"/>
  </sheetPr>
  <dimension ref="A1:B14"/>
  <sheetViews>
    <sheetView zoomScaleNormal="100" workbookViewId="0">
      <pane xSplit="1" ySplit="2" topLeftCell="B3" activePane="bottomRight" state="frozen"/>
      <selection pane="topRight" activeCell="B1" sqref="B1"/>
      <selection pane="bottomLeft" activeCell="A3" sqref="A3"/>
      <selection pane="bottomRight" activeCell="B13" sqref="B13"/>
    </sheetView>
  </sheetViews>
  <sheetFormatPr defaultColWidth="8.85546875" defaultRowHeight="15" x14ac:dyDescent="0.25"/>
  <cols>
    <col min="1" max="1" width="23" customWidth="1"/>
    <col min="2" max="2" width="106.85546875" customWidth="1"/>
  </cols>
  <sheetData>
    <row r="1" spans="1:2" ht="190.5" customHeight="1" x14ac:dyDescent="0.25">
      <c r="A1" s="3"/>
    </row>
    <row r="2" spans="1:2" hidden="1" x14ac:dyDescent="0.25">
      <c r="A2" s="2" t="s">
        <v>0</v>
      </c>
      <c r="B2" s="2" t="s">
        <v>1</v>
      </c>
    </row>
    <row r="3" spans="1:2" x14ac:dyDescent="0.25">
      <c r="A3" s="15" t="s">
        <v>2</v>
      </c>
      <c r="B3" s="1" t="s">
        <v>87</v>
      </c>
    </row>
    <row r="4" spans="1:2" x14ac:dyDescent="0.25">
      <c r="A4" s="15" t="s">
        <v>3</v>
      </c>
      <c r="B4" s="1"/>
    </row>
    <row r="5" spans="1:2" x14ac:dyDescent="0.25">
      <c r="A5" s="15" t="s">
        <v>4</v>
      </c>
      <c r="B5" s="1"/>
    </row>
    <row r="6" spans="1:2" x14ac:dyDescent="0.25">
      <c r="A6" s="15" t="s">
        <v>5</v>
      </c>
      <c r="B6" s="1"/>
    </row>
    <row r="7" spans="1:2" x14ac:dyDescent="0.25">
      <c r="A7" s="15" t="s">
        <v>6</v>
      </c>
      <c r="B7" s="1"/>
    </row>
    <row r="8" spans="1:2" x14ac:dyDescent="0.25">
      <c r="A8" s="15" t="s">
        <v>7</v>
      </c>
      <c r="B8" s="1"/>
    </row>
    <row r="9" spans="1:2" x14ac:dyDescent="0.25">
      <c r="A9" s="15" t="s">
        <v>8</v>
      </c>
      <c r="B9" s="1"/>
    </row>
    <row r="10" spans="1:2" x14ac:dyDescent="0.25">
      <c r="A10" s="15" t="s">
        <v>9</v>
      </c>
      <c r="B10" s="1"/>
    </row>
    <row r="12" spans="1:2" hidden="1" x14ac:dyDescent="0.25">
      <c r="A12" s="47" t="s">
        <v>0</v>
      </c>
      <c r="B12" s="2" t="s">
        <v>1</v>
      </c>
    </row>
    <row r="13" spans="1:2" x14ac:dyDescent="0.25">
      <c r="A13" s="46" t="s">
        <v>10</v>
      </c>
      <c r="B13" t="s">
        <v>88</v>
      </c>
    </row>
    <row r="14" spans="1:2" x14ac:dyDescent="0.25">
      <c r="A14" s="48" t="s">
        <v>11</v>
      </c>
    </row>
  </sheetData>
  <dataValidations xWindow="252" yWindow="825" count="9">
    <dataValidation allowBlank="1" showInputMessage="1" showErrorMessage="1" promptTitle="Bouwblokkcode" prompt="3- tot 5-letterige code die uniek is voor dit bouwblok. " sqref="A13" xr:uid="{80E4FD05-755E-404C-A385-B6D9217924A9}"/>
    <dataValidation allowBlank="1" showInputMessage="1" showErrorMessage="1" promptTitle="Conceptbeschrijving" prompt="De definitie of beschrijving van het concept" sqref="A4" xr:uid="{3CDD4708-0DB0-4EC0-918F-C7CC5B57C244}"/>
    <dataValidation allowBlank="1" showInputMessage="1" showErrorMessage="1" promptTitle="Doel" prompt="De doelen en redenen om het concept vast te leggen en/of uit te wisselen" sqref="A5" xr:uid="{F1C1CF8C-47F2-45EC-836C-3E51875D0F9A}"/>
    <dataValidation allowBlank="1" showInputMessage="1" showErrorMessage="1" promptTitle="Gebruiksscenario('s)" prompt="Geeft aan in welke context(en) het concept wordt gebruikt. Geef voorbeelden van gebruik in informatiestandaarden" sqref="A6" xr:uid="{E7C99E81-0C44-48EE-B440-A8C02D7B47A9}"/>
    <dataValidation allowBlank="1" showInputMessage="1" showErrorMessage="1" promptTitle="Alias(sen)" prompt="Alle bekende NL synoniemen voor het concept" sqref="A8" xr:uid="{9876B342-888C-4557-96AE-BD46292FDF17}"/>
    <dataValidation allowBlank="1" showInputMessage="1" showErrorMessage="1" promptTitle="Juist gebruik" prompt="Beschrijf hier waarvoor het concept wél bedoeld is" sqref="A9" xr:uid="{A8DBA2D7-E8A7-4517-B488-69D46EC268A7}"/>
    <dataValidation allowBlank="1" showInputMessage="1" showErrorMessage="1" promptTitle="Onjuist gebruik" prompt="Beschrijf hier waar het concept niet voor bedoeld is (dat hoeft niet uitputtend te zijn) en geef waar mogelijk aan welk concept er wel geschikt voor is" sqref="A10" xr:uid="{4644D679-B2CD-4392-8535-71D68B8C99E5}"/>
    <dataValidation allowBlank="1" showInputMessage="1" showErrorMessage="1" promptTitle="ART-DECOR-id" prompt="Het id op AR-DECOR van het afsprakenmodel, bv. 2.16.840.1.113883.2.4.3.11.60.153.4.12/2026-06-04T00:00:00" sqref="A14" xr:uid="{F5533F68-3BE1-4CC1-BC78-D5CB94AF50E4}"/>
    <dataValidation allowBlank="1" showInputMessage="1" showErrorMessage="1" promptTitle="Representatie" prompt="De representatie is wat er voor de dossiervorming belangrijk is rondom de levenscyclus en instantiaties van het concept van een bouwblok. " sqref="A7" xr:uid="{2AF959FB-C63D-4BF9-B62D-40D98B19F8F3}"/>
  </dataValidations>
  <pageMargins left="0.7" right="0.7" top="0.75" bottom="0.75" header="0.3" footer="0.3"/>
  <pageSetup paperSize="9" orientation="portrait" r:id="rId1"/>
  <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64D2F-7007-4DCA-953B-474B2BB50452}">
  <sheetPr codeName="Blad3">
    <tabColor rgb="FF375473"/>
  </sheetPr>
  <dimension ref="A1:B14"/>
  <sheetViews>
    <sheetView zoomScaleNormal="100" workbookViewId="0">
      <pane xSplit="1" ySplit="2" topLeftCell="B3" activePane="bottomRight" state="frozen"/>
      <selection pane="topRight" activeCell="B1" sqref="B1"/>
      <selection pane="bottomLeft" activeCell="A3" sqref="A3"/>
      <selection pane="bottomRight" activeCell="B13" sqref="B13"/>
    </sheetView>
  </sheetViews>
  <sheetFormatPr defaultColWidth="9.140625" defaultRowHeight="15" x14ac:dyDescent="0.25"/>
  <cols>
    <col min="1" max="1" width="23" style="24" customWidth="1"/>
    <col min="2" max="2" width="106.85546875" style="24" customWidth="1"/>
    <col min="3" max="16384" width="9.140625" style="24"/>
  </cols>
  <sheetData>
    <row r="1" spans="1:2" ht="190.5" customHeight="1" x14ac:dyDescent="0.25">
      <c r="A1" s="23"/>
    </row>
    <row r="2" spans="1:2" hidden="1" x14ac:dyDescent="0.25">
      <c r="A2" s="25" t="s">
        <v>12</v>
      </c>
      <c r="B2" s="25" t="s">
        <v>13</v>
      </c>
    </row>
    <row r="3" spans="1:2" x14ac:dyDescent="0.25">
      <c r="A3" s="26" t="s">
        <v>14</v>
      </c>
      <c r="B3" s="27"/>
    </row>
    <row r="4" spans="1:2" x14ac:dyDescent="0.25">
      <c r="A4" s="26" t="s">
        <v>15</v>
      </c>
      <c r="B4" s="27"/>
    </row>
    <row r="5" spans="1:2" x14ac:dyDescent="0.25">
      <c r="A5" s="26" t="s">
        <v>16</v>
      </c>
      <c r="B5" s="27"/>
    </row>
    <row r="6" spans="1:2" x14ac:dyDescent="0.25">
      <c r="A6" s="26" t="s">
        <v>17</v>
      </c>
      <c r="B6" s="27"/>
    </row>
    <row r="7" spans="1:2" x14ac:dyDescent="0.25">
      <c r="A7" s="26" t="s">
        <v>18</v>
      </c>
      <c r="B7" s="27"/>
    </row>
    <row r="8" spans="1:2" x14ac:dyDescent="0.25">
      <c r="A8" s="26" t="s">
        <v>19</v>
      </c>
      <c r="B8" s="27"/>
    </row>
    <row r="9" spans="1:2" x14ac:dyDescent="0.25">
      <c r="A9" s="26" t="s">
        <v>20</v>
      </c>
      <c r="B9" s="27"/>
    </row>
    <row r="10" spans="1:2" x14ac:dyDescent="0.25">
      <c r="A10" s="26" t="s">
        <v>21</v>
      </c>
      <c r="B10" s="27"/>
    </row>
    <row r="12" spans="1:2" hidden="1" x14ac:dyDescent="0.25">
      <c r="A12" s="25" t="s">
        <v>12</v>
      </c>
      <c r="B12" s="25" t="s">
        <v>13</v>
      </c>
    </row>
    <row r="13" spans="1:2" x14ac:dyDescent="0.25">
      <c r="A13" s="28" t="s">
        <v>22</v>
      </c>
      <c r="B13" s="29" t="str" cm="1">
        <f t="array" ref="B13">IFERROR(IF(INDEX(Concept_kenmerk_NL[Invulling],ROW()-12)="","[Automatic]",INDEX(Concept_kenmerk_NL[Invulling],ROW()-12)),"[Automatic]")</f>
        <v>tst</v>
      </c>
    </row>
    <row r="14" spans="1:2" x14ac:dyDescent="0.25">
      <c r="A14" s="28" t="s">
        <v>11</v>
      </c>
      <c r="B14" s="29" t="str" cm="1">
        <f t="array" ref="B14">IFERROR(IF(INDEX(Concept_kenmerk_NL[Invulling],ROW()-12)="","[Automatic]",INDEX(Concept_kenmerk_NL[Invulling],ROW()-12)),"[Automatic]")</f>
        <v>[Automatic]</v>
      </c>
    </row>
  </sheetData>
  <sheetProtection insertRows="0" insertHyperlinks="0"/>
  <dataValidations count="9">
    <dataValidation allowBlank="1" showInputMessage="1" showErrorMessage="1" promptTitle="ART-DECOR ID" prompt="The ART-DECOR identifier of the agreement model, e.g. 2.16.840.1.113883.2.4.3.11.60.153.4.12/2026-06-04T00:00:00." sqref="A14" xr:uid="{00000000-0002-0000-0100-000008000000}"/>
    <dataValidation allowBlank="1" showInputMessage="1" showErrorMessage="1" promptTitle="Incorrect use" prompt="Describe what the concept is not intended for (not necessarily exhaustive) and, where possible, identify the concept that should be used instead." sqref="A10" xr:uid="{00000000-0002-0000-0100-000006000000}"/>
    <dataValidation allowBlank="1" showInputMessage="1" showErrorMessage="1" promptTitle="Correct use" prompt="Describe what the concept is intended to be used for." sqref="A9" xr:uid="{00000000-0002-0000-0100-000005000000}"/>
    <dataValidation allowBlank="1" showInputMessage="1" showErrorMessage="1" promptTitle="Alias(es)" prompt="All known EN synonyms for the concept." sqref="A8" xr:uid="{00000000-0002-0000-0100-000004000000}"/>
    <dataValidation allowBlank="1" showInputMessage="1" showErrorMessage="1" promptTitle="Use case(s)" prompt="Describe the context(s) in which the concept is used. Include examples of use in information standards." sqref="A6" xr:uid="{00000000-0002-0000-0100-000003000000}"/>
    <dataValidation allowBlank="1" showInputMessage="1" showErrorMessage="1" promptTitle="Purpose" prompt="The purposes and reasons for recording and/or exchanging the concept." sqref="A5" xr:uid="{00000000-0002-0000-0100-000002000000}"/>
    <dataValidation allowBlank="1" showInputMessage="1" showErrorMessage="1" promptTitle="Concept description" prompt="The definition or description of the concept." sqref="A4" xr:uid="{00000000-0002-0000-0100-000001000000}"/>
    <dataValidation allowBlank="1" showInputMessage="1" showErrorMessage="1" promptTitle="Building block code" prompt="A unique three- to five-letter code for this building block. " sqref="A13" xr:uid="{00000000-0002-0000-0100-000000000000}"/>
    <dataValidation allowBlank="1" showInputMessage="1" showErrorMessage="1" prompt="Representation is what is important for record-keeping in relation to the life cycle and instances of the concept of a ‘building block’." sqref="A7" xr:uid="{F57A9E67-B358-4E4B-A32A-427C056CF16C}"/>
  </dataValidations>
  <pageMargins left="0.7" right="0.7" top="0.75" bottom="0.75" header="0.3" footer="0.3"/>
  <drawing r:id="rId1"/>
  <tableParts count="2">
    <tablePart r:id="rId2"/>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4CDAF-2A08-4BE8-92C3-F4E7A6F24E1B}">
  <sheetPr codeName="Blad4">
    <tabColor rgb="FF6A116A"/>
  </sheetPr>
  <dimension ref="A1:M42"/>
  <sheetViews>
    <sheetView tabSelected="1" zoomScaleNormal="100" workbookViewId="0">
      <pane xSplit="2" ySplit="2" topLeftCell="I3" activePane="bottomRight" state="frozen"/>
      <selection pane="topRight" activeCell="C1" sqref="C1"/>
      <selection pane="bottomLeft" activeCell="A3" sqref="A3"/>
      <selection pane="bottomRight" activeCell="K3" sqref="K3"/>
    </sheetView>
  </sheetViews>
  <sheetFormatPr defaultColWidth="8.85546875" defaultRowHeight="15" x14ac:dyDescent="0.25"/>
  <cols>
    <col min="1" max="1" width="18.28515625" customWidth="1"/>
    <col min="2" max="2" width="43.5703125" customWidth="1"/>
    <col min="3" max="3" width="30.7109375" customWidth="1"/>
    <col min="4" max="4" width="68.42578125" customWidth="1"/>
    <col min="5" max="5" width="52.140625" customWidth="1"/>
    <col min="6" max="7" width="48.7109375" customWidth="1"/>
    <col min="8" max="10" width="34.42578125" customWidth="1"/>
    <col min="11" max="12" width="36.85546875" style="1" customWidth="1"/>
    <col min="13" max="13" width="41.42578125" customWidth="1"/>
  </cols>
  <sheetData>
    <row r="1" spans="1:13" ht="140.44999999999999" customHeight="1" x14ac:dyDescent="0.25"/>
    <row r="2" spans="1:13" x14ac:dyDescent="0.25">
      <c r="A2" t="s">
        <v>23</v>
      </c>
      <c r="B2" s="63" t="s">
        <v>24</v>
      </c>
      <c r="C2" t="s">
        <v>25</v>
      </c>
      <c r="D2" t="s">
        <v>26</v>
      </c>
      <c r="E2" t="s">
        <v>27</v>
      </c>
      <c r="F2" t="s">
        <v>28</v>
      </c>
      <c r="G2" t="s">
        <v>29</v>
      </c>
      <c r="H2" t="s">
        <v>30</v>
      </c>
      <c r="I2" s="63" t="s">
        <v>78</v>
      </c>
      <c r="J2" s="63" t="s">
        <v>31</v>
      </c>
      <c r="K2" s="63" t="s">
        <v>32</v>
      </c>
      <c r="L2" s="63" t="s">
        <v>33</v>
      </c>
      <c r="M2" s="21" t="s">
        <v>34</v>
      </c>
    </row>
    <row r="3" spans="1:13" x14ac:dyDescent="0.25">
      <c r="A3" s="64">
        <v>1</v>
      </c>
      <c r="B3" t="s">
        <v>76</v>
      </c>
      <c r="C3" t="s">
        <v>97</v>
      </c>
      <c r="D3" t="s">
        <v>89</v>
      </c>
      <c r="E3" t="s">
        <v>90</v>
      </c>
      <c r="F3" t="s">
        <v>91</v>
      </c>
      <c r="G3" t="s">
        <v>92</v>
      </c>
      <c r="H3" t="s">
        <v>93</v>
      </c>
      <c r="I3" t="s">
        <v>95</v>
      </c>
      <c r="K3" t="s">
        <v>72</v>
      </c>
      <c r="L3"/>
      <c r="M3" s="22"/>
    </row>
    <row r="4" spans="1:13" x14ac:dyDescent="0.25">
      <c r="A4">
        <v>2</v>
      </c>
      <c r="B4" t="s">
        <v>77</v>
      </c>
      <c r="C4" t="s">
        <v>94</v>
      </c>
      <c r="D4" t="s">
        <v>90</v>
      </c>
      <c r="K4" t="s">
        <v>74</v>
      </c>
      <c r="L4">
        <v>1</v>
      </c>
      <c r="M4" s="22"/>
    </row>
    <row r="5" spans="1:13" x14ac:dyDescent="0.25">
      <c r="K5"/>
      <c r="L5"/>
      <c r="M5" s="22"/>
    </row>
    <row r="6" spans="1:13" x14ac:dyDescent="0.25">
      <c r="K6"/>
      <c r="L6"/>
      <c r="M6" s="22"/>
    </row>
    <row r="7" spans="1:13" x14ac:dyDescent="0.25">
      <c r="K7"/>
      <c r="L7"/>
      <c r="M7" s="22"/>
    </row>
    <row r="8" spans="1:13" x14ac:dyDescent="0.25">
      <c r="K8"/>
      <c r="L8"/>
      <c r="M8" s="22"/>
    </row>
    <row r="9" spans="1:13" x14ac:dyDescent="0.25">
      <c r="K9"/>
      <c r="L9"/>
      <c r="M9" s="22"/>
    </row>
    <row r="10" spans="1:13" x14ac:dyDescent="0.25">
      <c r="K10"/>
      <c r="L10"/>
      <c r="M10" s="22"/>
    </row>
    <row r="11" spans="1:13" x14ac:dyDescent="0.25">
      <c r="K11"/>
      <c r="L11"/>
      <c r="M11" s="22"/>
    </row>
    <row r="12" spans="1:13" x14ac:dyDescent="0.25">
      <c r="K12"/>
      <c r="L12"/>
      <c r="M12" s="22"/>
    </row>
    <row r="13" spans="1:13" x14ac:dyDescent="0.25">
      <c r="K13"/>
      <c r="L13"/>
      <c r="M13" s="22"/>
    </row>
    <row r="14" spans="1:13" x14ac:dyDescent="0.25">
      <c r="K14"/>
      <c r="L14"/>
      <c r="M14" s="22"/>
    </row>
    <row r="15" spans="1:13" x14ac:dyDescent="0.25">
      <c r="K15"/>
      <c r="L15"/>
      <c r="M15" s="22"/>
    </row>
    <row r="16" spans="1:13" x14ac:dyDescent="0.25">
      <c r="K16"/>
      <c r="L16"/>
      <c r="M16" s="22"/>
    </row>
    <row r="17" spans="1:13" x14ac:dyDescent="0.25">
      <c r="K17"/>
      <c r="L17"/>
      <c r="M17" s="22"/>
    </row>
    <row r="18" spans="1:13" x14ac:dyDescent="0.25">
      <c r="K18"/>
      <c r="L18"/>
      <c r="M18" s="22"/>
    </row>
    <row r="19" spans="1:13" x14ac:dyDescent="0.25">
      <c r="K19"/>
      <c r="L19"/>
      <c r="M19" s="22"/>
    </row>
    <row r="20" spans="1:13" x14ac:dyDescent="0.25">
      <c r="K20"/>
      <c r="L20"/>
      <c r="M20" s="22"/>
    </row>
    <row r="21" spans="1:13" x14ac:dyDescent="0.25">
      <c r="K21"/>
      <c r="L21"/>
      <c r="M21" s="22"/>
    </row>
    <row r="22" spans="1:13" x14ac:dyDescent="0.25">
      <c r="A22" s="12"/>
      <c r="B22" s="13"/>
      <c r="C22" s="4"/>
      <c r="D22" s="5"/>
      <c r="E22" s="5"/>
      <c r="F22" s="5"/>
      <c r="G22" s="5"/>
      <c r="H22" s="6"/>
      <c r="I22" s="5"/>
      <c r="J22" s="14"/>
      <c r="K22" s="6"/>
      <c r="L22" s="6"/>
      <c r="M22" s="55"/>
    </row>
    <row r="23" spans="1:13" x14ac:dyDescent="0.25">
      <c r="A23" s="12"/>
      <c r="B23" s="13"/>
      <c r="C23" s="4"/>
      <c r="D23" s="5"/>
      <c r="E23" s="5"/>
      <c r="F23" s="5"/>
      <c r="G23" s="5"/>
      <c r="H23" s="6"/>
      <c r="I23" s="5"/>
      <c r="J23" s="14"/>
      <c r="K23" s="6"/>
      <c r="L23" s="6"/>
      <c r="M23" s="55"/>
    </row>
    <row r="24" spans="1:13" x14ac:dyDescent="0.25">
      <c r="A24" s="12"/>
      <c r="B24" s="13"/>
      <c r="C24" s="4"/>
      <c r="D24" s="5"/>
      <c r="E24" s="5"/>
      <c r="F24" s="5"/>
      <c r="G24" s="5"/>
      <c r="H24" s="6"/>
      <c r="I24" s="5"/>
      <c r="J24" s="14"/>
      <c r="K24" s="6"/>
      <c r="L24" s="6"/>
      <c r="M24" s="55"/>
    </row>
    <row r="25" spans="1:13" x14ac:dyDescent="0.25">
      <c r="A25" s="12"/>
      <c r="B25" s="13"/>
      <c r="C25" s="4"/>
      <c r="D25" s="5"/>
      <c r="E25" s="5"/>
      <c r="F25" s="5"/>
      <c r="G25" s="5"/>
      <c r="H25" s="6"/>
      <c r="I25" s="5"/>
      <c r="J25" s="14"/>
      <c r="K25" s="6"/>
      <c r="L25" s="6"/>
      <c r="M25" s="55"/>
    </row>
    <row r="26" spans="1:13" x14ac:dyDescent="0.25">
      <c r="A26" s="12"/>
      <c r="B26" s="13"/>
      <c r="C26" s="4"/>
      <c r="D26" s="5"/>
      <c r="E26" s="5"/>
      <c r="F26" s="5"/>
      <c r="G26" s="5"/>
      <c r="H26" s="6"/>
      <c r="I26" s="5"/>
      <c r="J26" s="14"/>
      <c r="K26" s="6"/>
      <c r="L26" s="6"/>
      <c r="M26" s="55"/>
    </row>
    <row r="27" spans="1:13" x14ac:dyDescent="0.25">
      <c r="A27" s="12"/>
      <c r="B27" s="13"/>
      <c r="C27" s="4"/>
      <c r="D27" s="5"/>
      <c r="E27" s="5"/>
      <c r="F27" s="5"/>
      <c r="G27" s="5"/>
      <c r="H27" s="6"/>
      <c r="I27" s="5"/>
      <c r="J27" s="14"/>
      <c r="K27" s="6"/>
      <c r="L27" s="6"/>
      <c r="M27" s="55"/>
    </row>
    <row r="28" spans="1:13" x14ac:dyDescent="0.25">
      <c r="A28" s="12"/>
      <c r="B28" s="13"/>
      <c r="C28" s="4"/>
      <c r="D28" s="5"/>
      <c r="E28" s="5"/>
      <c r="F28" s="5"/>
      <c r="G28" s="5"/>
      <c r="H28" s="6"/>
      <c r="I28" s="5"/>
      <c r="J28" s="14"/>
      <c r="K28" s="6"/>
      <c r="L28" s="6"/>
      <c r="M28" s="55"/>
    </row>
    <row r="29" spans="1:13" x14ac:dyDescent="0.25">
      <c r="A29" s="12"/>
      <c r="B29" s="13"/>
      <c r="C29" s="4"/>
      <c r="D29" s="5"/>
      <c r="E29" s="5"/>
      <c r="F29" s="5"/>
      <c r="G29" s="5"/>
      <c r="H29" s="6"/>
      <c r="I29" s="5"/>
      <c r="J29" s="14"/>
      <c r="K29" s="6"/>
      <c r="L29" s="6"/>
      <c r="M29" s="55"/>
    </row>
    <row r="30" spans="1:13" x14ac:dyDescent="0.25">
      <c r="A30" s="12"/>
      <c r="B30" s="13"/>
      <c r="C30" s="4"/>
      <c r="D30" s="5"/>
      <c r="E30" s="5"/>
      <c r="F30" s="5"/>
      <c r="G30" s="5"/>
      <c r="H30" s="6"/>
      <c r="I30" s="5"/>
      <c r="J30" s="14"/>
      <c r="K30" s="6"/>
      <c r="L30" s="6"/>
      <c r="M30" s="55"/>
    </row>
    <row r="31" spans="1:13" x14ac:dyDescent="0.25">
      <c r="A31" s="12"/>
      <c r="B31" s="13"/>
      <c r="C31" s="4"/>
      <c r="D31" s="5"/>
      <c r="E31" s="5"/>
      <c r="F31" s="5"/>
      <c r="G31" s="5"/>
      <c r="H31" s="6"/>
      <c r="I31" s="5"/>
      <c r="J31" s="14"/>
      <c r="K31" s="6"/>
      <c r="L31" s="6"/>
      <c r="M31" s="55"/>
    </row>
    <row r="32" spans="1:13" x14ac:dyDescent="0.25">
      <c r="A32" s="12"/>
      <c r="B32" s="13"/>
      <c r="C32" s="4"/>
      <c r="D32" s="5"/>
      <c r="E32" s="5"/>
      <c r="F32" s="5"/>
      <c r="G32" s="5"/>
      <c r="H32" s="6"/>
      <c r="I32" s="5"/>
      <c r="J32" s="14"/>
      <c r="K32" s="6"/>
      <c r="L32" s="6"/>
      <c r="M32" s="55"/>
    </row>
    <row r="33" spans="1:13" x14ac:dyDescent="0.25">
      <c r="A33" s="12"/>
      <c r="B33" s="13"/>
      <c r="C33" s="4"/>
      <c r="D33" s="5"/>
      <c r="E33" s="5"/>
      <c r="F33" s="5"/>
      <c r="G33" s="5"/>
      <c r="H33" s="6"/>
      <c r="I33" s="5"/>
      <c r="J33" s="14"/>
      <c r="K33" s="6"/>
      <c r="L33" s="6"/>
      <c r="M33" s="55"/>
    </row>
    <row r="34" spans="1:13" x14ac:dyDescent="0.25">
      <c r="A34" s="16"/>
      <c r="B34" s="13"/>
      <c r="C34" s="17"/>
      <c r="D34" s="18"/>
      <c r="E34" s="18"/>
      <c r="F34" s="18"/>
      <c r="G34" s="18"/>
      <c r="H34" s="19"/>
      <c r="I34" s="18"/>
      <c r="J34" s="20"/>
      <c r="K34" s="19"/>
      <c r="L34" s="19"/>
      <c r="M34" s="56"/>
    </row>
    <row r="35" spans="1:13" x14ac:dyDescent="0.25">
      <c r="A35" s="16"/>
      <c r="B35" s="13"/>
      <c r="C35" s="17"/>
      <c r="D35" s="18"/>
      <c r="E35" s="18"/>
      <c r="F35" s="18"/>
      <c r="G35" s="18"/>
      <c r="H35" s="19"/>
      <c r="I35" s="18"/>
      <c r="J35" s="20"/>
      <c r="K35" s="19"/>
      <c r="L35" s="19"/>
      <c r="M35" s="56"/>
    </row>
    <row r="36" spans="1:13" x14ac:dyDescent="0.25">
      <c r="A36" s="16"/>
      <c r="B36" s="13"/>
      <c r="C36" s="17"/>
      <c r="D36" s="18"/>
      <c r="E36" s="18"/>
      <c r="F36" s="18"/>
      <c r="G36" s="18"/>
      <c r="H36" s="19"/>
      <c r="I36" s="18"/>
      <c r="J36" s="20"/>
      <c r="K36" s="19"/>
      <c r="L36" s="19"/>
      <c r="M36" s="56"/>
    </row>
    <row r="37" spans="1:13" x14ac:dyDescent="0.25">
      <c r="K37"/>
      <c r="L37"/>
    </row>
    <row r="38" spans="1:13" x14ac:dyDescent="0.25">
      <c r="K38"/>
      <c r="L38"/>
    </row>
    <row r="39" spans="1:13" x14ac:dyDescent="0.25">
      <c r="K39"/>
      <c r="L39"/>
    </row>
    <row r="40" spans="1:13" x14ac:dyDescent="0.25">
      <c r="K40"/>
      <c r="L40"/>
    </row>
    <row r="41" spans="1:13" x14ac:dyDescent="0.25">
      <c r="K41"/>
      <c r="L41"/>
    </row>
    <row r="42" spans="1:13" x14ac:dyDescent="0.25">
      <c r="K42"/>
      <c r="L42"/>
    </row>
  </sheetData>
  <phoneticPr fontId="4" type="noConversion"/>
  <dataValidations xWindow="432" yWindow="500" count="16">
    <dataValidation allowBlank="1" showInputMessage="1" showErrorMessage="1" promptTitle="Onderbouwing" prompt="Geef hier aan waarom deze behoefte er is: welke rol speelt deze in het zorgproces?" sqref="E2" xr:uid="{ECCFB7B9-CCAC-40F8-8C78-B02C6A2C2187}"/>
    <dataValidation allowBlank="1" showInputMessage="1" showErrorMessage="1" promptTitle="Variabiliteit" prompt="Betreft het een requirement voor een data-element, op welke manieren moet dit uitgedrukt moet kunnen worden? Bijv. een exacte tijd, en/of een datum en/of een periode en/of een seizoen. Aanduiding van datatype toegestaan." sqref="F2" xr:uid="{EB6434A3-3352-4E90-9DB4-44D0C1CA0B05}"/>
    <dataValidation allowBlank="1" showInputMessage="1" showErrorMessage="1" promptTitle="Omschrijving" prompt="Geef hier een tekstuele omschrijving van de behoefte die ingevuld wordt met de informatie-requirement. Het gaat hier om: wát is de behoefte precies?" sqref="D2" xr:uid="{77C83827-D5A2-4CBF-8DC1-DA85F8B66495}"/>
    <dataValidation allowBlank="1" showInputMessage="1" showErrorMessage="1" promptTitle="Titel" prompt="Titel waaraan de informatie-requirement te herkennen is" sqref="C2" xr:uid="{36C33CD1-D08C-4ACF-93BD-24A29BB22827}"/>
    <dataValidation allowBlank="1" showInputMessage="1" showErrorMessage="1" promptTitle="EU of NL" prompt="Informatie-requirement is afkomstig van Europa (EU) (en Nederland((NL)) of specifiek voor Nederland (NL)" sqref="B2" xr:uid="{9CC95A3A-75B4-4A8A-9B0F-5E283B312DE4}"/>
    <dataValidation allowBlank="1" showInputMessage="1" showErrorMessage="1" promptTitle="Aanwezigheid" prompt="Als het een data-element betreft: geef aan wanneer het element er zou moeten of mogen zijn of juist niet. Bijv: over de einddatum van een behandeling: niet aanwezig als de behandeling nog loopt. Notatie in de vorm van kardinaliteit, bijv. 1..*, toegestaan" sqref="G2" xr:uid="{6C7A01EF-9C11-471B-83EC-3AC98A7B808A}"/>
    <dataValidation allowBlank="1" showInputMessage="1" showErrorMessage="1" promptTitle="Context voor toepassing" prompt="Geef aan in welke context(en) de informatie-requirement relevant is, zoals specifieke use-cases of toepasselijkheid in het verleden, in het heden en/of in de toekoemst. Het kan zijn dat de scope van het bouwblok beperkt is tot een deel van deze situaties." sqref="H2" xr:uid="{5E75DF60-19C8-4F27-91CB-31906C7AB047}"/>
    <dataValidation allowBlank="1" showInputMessage="1" showErrorMessage="1" promptTitle="Mapbaar op basismodel" prompt="Ja of nee" sqref="J2" xr:uid="{8F13DDE0-E475-4066-9D99-E0199D15579F}"/>
    <dataValidation allowBlank="1" showInputMessage="1" showErrorMessage="1" promptTitle="Opgenomen of niet-opgenomen" prompt="Opgenomen informatiebehoefte of niet-opgenomen informatiebehoefte" sqref="K2" xr:uid="{01FC4252-C3DA-4DF6-BF1B-380B3BD970C6}"/>
    <dataValidation allowBlank="1" showInputMessage="1" showErrorMessage="1" promptTitle="Opmerkingen" prompt="Vrije invulling_x000a_Wordt niet weergegeven in de IG" sqref="M2" xr:uid="{8A57BCC4-E913-4E00-B1AF-934D7F795820}"/>
    <dataValidation allowBlank="1" showInputMessage="1" showErrorMessage="1" errorTitle="Waarden  uit tabblad bronnen" error="Meerdere kommagescheiden waarden uit tabblad bronnen toegestaan (negeer gegevensvalidatiefout)" promptTitle="Bron" prompt="Geef aan waar de behoefte vandaan komt, bv. een specifieke informatiestandaard of bepaalde zorgrichtlijn. Deze moeten één voor één geselecteerd worden uit het tabblad bronnen met de dropdown. Negeer in dat geval de gegevensvalidatiefout." sqref="I2" xr:uid="{CFCA3822-4A20-4D7B-A5B1-A5A1F5B12902}"/>
    <dataValidation allowBlank="1" showInputMessage="1" showErrorMessage="1" promptTitle="Key" prompt="Identificatie van het informatie-requirement. De key is een betekenisloos geheel getal, uniek binnen het bouwblok." sqref="A2" xr:uid="{848BF5DC-1262-41D5-BCDA-3AC29B46244F}"/>
    <dataValidation allowBlank="1" showInputMessage="1" showErrorMessage="1" promptTitle="Afgeleid van (Aanscherping op)" prompt="Een andere requirement die hiermee wordt verfijnd of aangescherpt. Moet gebruikt worden voor NL requirements die een aanscherping zijn van een EU requirement. Vul hier de &quot;Key&quot; in van de requirement waar deze requirement een afgeleide van is._x000a_" sqref="L2" xr:uid="{A46D2458-14F9-4E1C-9D2A-2F55251C2DCD}"/>
    <dataValidation type="whole" allowBlank="1" showInputMessage="1" showErrorMessage="1" sqref="A1:A1048576" xr:uid="{92B1FB39-BEFC-460B-9F9A-78880E9BD988}">
      <formula1>0</formula1>
      <formula2>100000</formula2>
    </dataValidation>
    <dataValidation type="list" allowBlank="1" showInputMessage="1" showErrorMessage="1" promptTitle="Afgeleid van (Aanscherping op)" prompt="Een andere requirement die hiermee wordt verfijnd of aangescherpt. Moet gebruikt worden voor NL requirements die een aanscherping zijn van een EU requirement. Vul hier de &quot;Key&quot; in van de requirement waar deze requirement een afgeleide van is._x000a_" sqref="L2" xr:uid="{165E9A0C-5F79-4F2D-8035-3B2D4C2EE0E7}">
      <formula1>$A$4:$A$363</formula1>
    </dataValidation>
    <dataValidation type="list" allowBlank="1" showInputMessage="1" showErrorMessage="1" promptTitle="Afgeleid van (Aanscherping op)" prompt="Een andere requirement die hiermee wordt verfijnd of aangescherpt. Moet gebruikt worden voor NL requirements die een aanscherping zijn van een EU requirement. Vul hier de &quot;Key&quot; in van de requirement waar deze requirement een afgeleide van is._x000a_" sqref="L1:L1048576" xr:uid="{6B579CA8-B964-4E44-8B8B-7114A937B124}">
      <formula1>$A$3:$A$363</formula1>
    </dataValidation>
  </dataValidations>
  <pageMargins left="0.7" right="0.7" top="0.75" bottom="0.75" header="0.3" footer="0.3"/>
  <pageSetup paperSize="9" orientation="portrait" r:id="rId1"/>
  <drawing r:id="rId2"/>
  <legacyDrawing r:id="rId3"/>
  <tableParts count="1">
    <tablePart r:id="rId4"/>
  </tableParts>
  <extLst>
    <ext xmlns:x14="http://schemas.microsoft.com/office/spreadsheetml/2009/9/main" uri="{CCE6A557-97BC-4b89-ADB6-D9C93CAAB3DF}">
      <x14:dataValidations xmlns:xm="http://schemas.microsoft.com/office/excel/2006/main" xWindow="432" yWindow="500" count="4">
        <x14:dataValidation type="list" allowBlank="1" showInputMessage="1" showErrorMessage="1" xr:uid="{5AA5FDB9-C141-409F-828D-12CF35C28727}">
          <x14:formula1>
            <xm:f>'Drop down menu''s'!$A$3:$A$4</xm:f>
          </x14:formula1>
          <xm:sqref>J1:J1048576</xm:sqref>
        </x14:dataValidation>
        <x14:dataValidation type="list" allowBlank="1" showInputMessage="1" showErrorMessage="1" xr:uid="{DD4439A8-D5C9-468B-B8F9-F9D2CAF8DA4C}">
          <x14:formula1>
            <xm:f>'Drop down menu''s'!$A$10:$A$11</xm:f>
          </x14:formula1>
          <xm:sqref>K1:K1048576</xm:sqref>
        </x14:dataValidation>
        <x14:dataValidation type="list" allowBlank="1" showInputMessage="1" showErrorMessage="1" xr:uid="{9D334C19-D44C-4E07-8455-49D15E07408D}">
          <x14:formula1>
            <xm:f>'Drop down menu''s'!$A$15:$A$16</xm:f>
          </x14:formula1>
          <xm:sqref>B1:B1048576</xm:sqref>
        </x14:dataValidation>
        <x14:dataValidation type="list" allowBlank="1" showInputMessage="1" showErrorMessage="1" errorTitle="Waarden uit tabblad bronnen" error="Waarden uit tabblad Bronnen. Meerdere kommagescheiden waarden toegestaan." xr:uid="{677133C1-6296-455F-AA39-2A543D48537F}">
          <x14:formula1>
            <xm:f>Bronnen!$A$3:$A$70</xm:f>
          </x14:formula1>
          <xm:sqref>I1:I1048576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C8AB6-CF9C-417B-8353-2D30EE9FA033}">
  <sheetPr codeName="Blad5">
    <tabColor rgb="FF6A116A"/>
  </sheetPr>
  <dimension ref="A1:M122"/>
  <sheetViews>
    <sheetView workbookViewId="0">
      <pane xSplit="2" ySplit="2" topLeftCell="H3" activePane="bottomRight" state="frozen"/>
      <selection pane="topRight" activeCell="C1" sqref="C1"/>
      <selection pane="bottomLeft" activeCell="A3" sqref="A3"/>
      <selection pane="bottomRight" activeCell="K3" sqref="K3"/>
    </sheetView>
  </sheetViews>
  <sheetFormatPr defaultColWidth="9.140625" defaultRowHeight="15" x14ac:dyDescent="0.25"/>
  <cols>
    <col min="1" max="2" width="15.7109375" style="7" customWidth="1"/>
    <col min="3" max="3" width="30.7109375" style="7" customWidth="1"/>
    <col min="4" max="4" width="68.42578125" style="7" customWidth="1"/>
    <col min="5" max="5" width="52.140625" style="7" customWidth="1"/>
    <col min="6" max="7" width="48.7109375" style="7" customWidth="1"/>
    <col min="8" max="10" width="34.42578125" style="7" customWidth="1"/>
    <col min="11" max="12" width="36.85546875" style="8" customWidth="1"/>
    <col min="13" max="13" width="41.42578125" style="7" customWidth="1"/>
    <col min="14" max="16384" width="9.140625" style="7"/>
  </cols>
  <sheetData>
    <row r="1" spans="1:13" ht="191.25" customHeight="1" x14ac:dyDescent="0.25"/>
    <row r="2" spans="1:13" x14ac:dyDescent="0.25">
      <c r="A2" s="9" t="s">
        <v>23</v>
      </c>
      <c r="B2" s="9" t="s">
        <v>35</v>
      </c>
      <c r="C2" s="7" t="s">
        <v>36</v>
      </c>
      <c r="D2" s="7" t="s">
        <v>37</v>
      </c>
      <c r="E2" s="7" t="s">
        <v>38</v>
      </c>
      <c r="F2" s="7" t="s">
        <v>39</v>
      </c>
      <c r="G2" s="7" t="s">
        <v>40</v>
      </c>
      <c r="H2" s="7" t="s">
        <v>41</v>
      </c>
      <c r="I2" s="9" t="s">
        <v>79</v>
      </c>
      <c r="J2" s="10" t="s">
        <v>42</v>
      </c>
      <c r="K2" s="9" t="s">
        <v>43</v>
      </c>
      <c r="L2" s="9" t="s">
        <v>44</v>
      </c>
      <c r="M2" s="57" t="s">
        <v>45</v>
      </c>
    </row>
    <row r="3" spans="1:13" x14ac:dyDescent="0.25">
      <c r="A3" s="36" cm="1">
        <f t="array" ref="A3">IFERROR(IF(INDEX(Informatiebehoefte_NL[Key],ROW()-2)="","[Automatic]",INDEX(Informatiebehoefte_NL[Key],ROW()-2)),"[Automatic]")</f>
        <v>1</v>
      </c>
      <c r="B3" s="36" t="str" cm="1">
        <f t="array" ref="B3">IFERROR(IF(INDEX(Informatiebehoefte_NL[EU of NL],ROW()-2)="","[Automatic]",INDEX(Informatiebehoefte_NL[EU of NL],ROW()-2)),"[Automatic]")</f>
        <v>EU</v>
      </c>
      <c r="C3" s="24" t="s">
        <v>96</v>
      </c>
      <c r="D3" s="24"/>
      <c r="E3" s="24"/>
      <c r="F3" s="24"/>
      <c r="G3" s="24"/>
      <c r="H3" s="24"/>
      <c r="I3" s="36" t="str" cm="1">
        <f t="array" ref="I3">IF(IFERROR(INDEX(Informatiebehoefte_NL[Bron(nen)],ROW()-2),"")="","[Automatic]",IFERROR(INDEX(Informatiebehoefte_NL[Bron(nen)],ROW()-2),""))</f>
        <v>zib2020, EHDS</v>
      </c>
      <c r="J3" s="36" t="str">
        <f>_xlfn.IFNA(VLOOKUP(Informatiebehoefte_NL[[#This Row],[Mapbaar op basismodel]],'Drop down menu''s'!$A$3:$B$4,2,FALSE),"[Automatic]")</f>
        <v>[Automatic]</v>
      </c>
      <c r="K3" s="36" t="str">
        <f>_xlfn.IFNA(VLOOKUP(Informatiebehoefte_NL[[#This Row],[Opgenomen of niet-opgenomen]],'Drop down menu''s'!$A$10:$B$11,2,FALSE),"[Automatic]")</f>
        <v>Included information-requirements</v>
      </c>
      <c r="L3" s="36" t="str" cm="1">
        <f t="array" ref="L3">IFERROR(IF(INDEX(Informatiebehoefte_NL[Afgeleid van],ROW()-2)="","[Automatic]",INDEX(Informatiebehoefte_NL[Afgeleid van],ROW()-2)),"[Automatic]")</f>
        <v>[Automatic]</v>
      </c>
      <c r="M3" s="30"/>
    </row>
    <row r="4" spans="1:13" x14ac:dyDescent="0.25">
      <c r="A4" s="36" cm="1">
        <f t="array" ref="A4">IFERROR(IF(INDEX(Informatiebehoefte_NL[Key],ROW()-2)="","[Automatic]",INDEX(Informatiebehoefte_NL[Key],ROW()-2)),"[Automatic]")</f>
        <v>2</v>
      </c>
      <c r="B4" s="36" t="str" cm="1">
        <f t="array" ref="B4">IFERROR(IF(INDEX(Informatiebehoefte_NL[EU of NL],ROW()-2)="","[Automatic]",INDEX(Informatiebehoefte_NL[EU of NL],ROW()-2)),"[Automatic]")</f>
        <v>NL</v>
      </c>
      <c r="C4" s="24"/>
      <c r="D4" s="24"/>
      <c r="E4" s="24"/>
      <c r="F4" s="24"/>
      <c r="G4" s="24"/>
      <c r="H4" s="24"/>
      <c r="I4" s="36" t="str" cm="1">
        <f t="array" ref="I4">IF(IFERROR(INDEX(Informatiebehoefte_NL[Bron(nen)],ROW()-2),"")="","[Automatic]",IFERROR(INDEX(Informatiebehoefte_NL[Bron(nen)],ROW()-2),""))</f>
        <v>[Automatic]</v>
      </c>
      <c r="J4" s="36" t="str">
        <f>_xlfn.IFNA(VLOOKUP(Informatiebehoefte_NL[[#This Row],[Mapbaar op basismodel]],'Drop down menu''s'!$A$3:$B$4,2,FALSE),"[Automatic]")</f>
        <v>[Automatic]</v>
      </c>
      <c r="K4" s="36" t="str">
        <f>_xlfn.IFNA(VLOOKUP(Informatiebehoefte_NL[[#This Row],[Opgenomen of niet-opgenomen]],'Drop down menu''s'!$A$10:$B$11,2,FALSE),"[Automatic]")</f>
        <v>Excluded information-requirements</v>
      </c>
      <c r="L4" s="36" cm="1">
        <f t="array" ref="L4">IFERROR(IF(INDEX(Informatiebehoefte_NL[Afgeleid van],ROW()-2)="","[Automatic]",INDEX(Informatiebehoefte_NL[Afgeleid van],ROW()-2)),"[Automatic]")</f>
        <v>1</v>
      </c>
      <c r="M4" s="30"/>
    </row>
    <row r="5" spans="1:13" x14ac:dyDescent="0.25">
      <c r="A5" s="36" t="str" cm="1">
        <f t="array" ref="A5">IFERROR(IF(INDEX(Informatiebehoefte_NL[Key],ROW()-2)="","[Automatic]",INDEX(Informatiebehoefte_NL[Key],ROW()-2)),"[Automatic]")</f>
        <v>[Automatic]</v>
      </c>
      <c r="B5" s="36" t="str" cm="1">
        <f t="array" ref="B5">IFERROR(IF(INDEX(Informatiebehoefte_NL[EU of NL],ROW()-2)="","[Automatic]",INDEX(Informatiebehoefte_NL[EU of NL],ROW()-2)),"[Automatic]")</f>
        <v>[Automatic]</v>
      </c>
      <c r="C5" s="24"/>
      <c r="D5" s="24"/>
      <c r="E5" s="24"/>
      <c r="F5" s="24"/>
      <c r="G5" s="24"/>
      <c r="H5" s="24"/>
      <c r="I5" s="36" t="str" cm="1">
        <f t="array" ref="I5">IF(IFERROR(INDEX(Informatiebehoefte_NL[Bron(nen)],ROW()-2),"")="","[Automatic]",IFERROR(INDEX(Informatiebehoefte_NL[Bron(nen)],ROW()-2),""))</f>
        <v>[Automatic]</v>
      </c>
      <c r="J5" s="36" t="str">
        <f>_xlfn.IFNA(VLOOKUP(Informatiebehoefte_NL[[#This Row],[Mapbaar op basismodel]],'Drop down menu''s'!$A$3:$B$4,2,FALSE),"[Automatic]")</f>
        <v>[Automatic]</v>
      </c>
      <c r="K5" s="36" t="str">
        <f>_xlfn.IFNA(VLOOKUP(Informatiebehoefte_NL[[#This Row],[Opgenomen of niet-opgenomen]],'Drop down menu''s'!$A$10:$B$11,2,FALSE),"[Automatic]")</f>
        <v>[Automatic]</v>
      </c>
      <c r="L5" s="36" t="str" cm="1">
        <f t="array" ref="L5">IFERROR(IF(INDEX(Informatiebehoefte_NL[Afgeleid van],ROW()-2)="","[Automatic]",INDEX(Informatiebehoefte_NL[Afgeleid van],ROW()-2)),"[Automatic]")</f>
        <v>[Automatic]</v>
      </c>
      <c r="M5" s="30"/>
    </row>
    <row r="6" spans="1:13" x14ac:dyDescent="0.25">
      <c r="A6" s="36" t="str" cm="1">
        <f t="array" ref="A6">IFERROR(IF(INDEX(Informatiebehoefte_NL[Key],ROW()-2)="","[Automatic]",INDEX(Informatiebehoefte_NL[Key],ROW()-2)),"[Automatic]")</f>
        <v>[Automatic]</v>
      </c>
      <c r="B6" s="36" t="str" cm="1">
        <f t="array" ref="B6">IFERROR(IF(INDEX(Informatiebehoefte_NL[EU of NL],ROW()-2)="","[Automatic]",INDEX(Informatiebehoefte_NL[EU of NL],ROW()-2)),"[Automatic]")</f>
        <v>[Automatic]</v>
      </c>
      <c r="C6" s="24"/>
      <c r="D6" s="24"/>
      <c r="E6" s="24"/>
      <c r="F6" s="24"/>
      <c r="G6" s="24"/>
      <c r="H6" s="24"/>
      <c r="I6" s="36" t="str" cm="1">
        <f t="array" ref="I6">IF(IFERROR(INDEX(Informatiebehoefte_NL[Bron(nen)],ROW()-2),"")="","[Automatic]",IFERROR(INDEX(Informatiebehoefte_NL[Bron(nen)],ROW()-2),""))</f>
        <v>[Automatic]</v>
      </c>
      <c r="J6" s="36" t="str">
        <f>_xlfn.IFNA(VLOOKUP(Informatiebehoefte_NL[[#This Row],[Mapbaar op basismodel]],'Drop down menu''s'!$A$3:$B$4,2,FALSE),"[Automatic]")</f>
        <v>[Automatic]</v>
      </c>
      <c r="K6" s="36" t="str">
        <f>_xlfn.IFNA(VLOOKUP(Informatiebehoefte_NL[[#This Row],[Opgenomen of niet-opgenomen]],'Drop down menu''s'!$A$10:$B$11,2,FALSE),"[Automatic]")</f>
        <v>[Automatic]</v>
      </c>
      <c r="L6" s="36" t="str" cm="1">
        <f t="array" ref="L6">IFERROR(IF(INDEX(Informatiebehoefte_NL[Afgeleid van],ROW()-2)="","[Automatic]",INDEX(Informatiebehoefte_NL[Afgeleid van],ROW()-2)),"[Automatic]")</f>
        <v>[Automatic]</v>
      </c>
      <c r="M6" s="30"/>
    </row>
    <row r="7" spans="1:13" x14ac:dyDescent="0.25">
      <c r="A7" s="36" t="str" cm="1">
        <f t="array" ref="A7">IFERROR(IF(INDEX(Informatiebehoefte_NL[Key],ROW()-2)="","[Automatic]",INDEX(Informatiebehoefte_NL[Key],ROW()-2)),"[Automatic]")</f>
        <v>[Automatic]</v>
      </c>
      <c r="B7" s="36" t="str" cm="1">
        <f t="array" ref="B7">IFERROR(IF(INDEX(Informatiebehoefte_NL[EU of NL],ROW()-2)="","[Automatic]",INDEX(Informatiebehoefte_NL[EU of NL],ROW()-2)),"[Automatic]")</f>
        <v>[Automatic]</v>
      </c>
      <c r="C7" s="24"/>
      <c r="D7" s="24"/>
      <c r="E7" s="24"/>
      <c r="F7" s="24"/>
      <c r="G7" s="24"/>
      <c r="H7" s="24"/>
      <c r="I7" s="36" t="str" cm="1">
        <f t="array" ref="I7">IF(IFERROR(INDEX(Informatiebehoefte_NL[Bron(nen)],ROW()-2),"")="","[Automatic]",IFERROR(INDEX(Informatiebehoefte_NL[Bron(nen)],ROW()-2),""))</f>
        <v>[Automatic]</v>
      </c>
      <c r="J7" s="36" t="str">
        <f>_xlfn.IFNA(VLOOKUP(Informatiebehoefte_NL[[#This Row],[Mapbaar op basismodel]],'Drop down menu''s'!$A$3:$B$4,2,FALSE),"[Automatic]")</f>
        <v>[Automatic]</v>
      </c>
      <c r="K7" s="36" t="str">
        <f>_xlfn.IFNA(VLOOKUP(Informatiebehoefte_NL[[#This Row],[Opgenomen of niet-opgenomen]],'Drop down menu''s'!$A$10:$B$11,2,FALSE),"[Automatic]")</f>
        <v>[Automatic]</v>
      </c>
      <c r="L7" s="36" t="str" cm="1">
        <f t="array" ref="L7">IFERROR(IF(INDEX(Informatiebehoefte_NL[Afgeleid van],ROW()-2)="","[Automatic]",INDEX(Informatiebehoefte_NL[Afgeleid van],ROW()-2)),"[Automatic]")</f>
        <v>[Automatic]</v>
      </c>
      <c r="M7" s="30"/>
    </row>
    <row r="8" spans="1:13" x14ac:dyDescent="0.25">
      <c r="A8" s="36" t="str" cm="1">
        <f t="array" ref="A8">IFERROR(IF(INDEX(Informatiebehoefte_NL[Key],ROW()-2)="","[Automatic]",INDEX(Informatiebehoefte_NL[Key],ROW()-2)),"[Automatic]")</f>
        <v>[Automatic]</v>
      </c>
      <c r="B8" s="36" t="str" cm="1">
        <f t="array" ref="B8">IFERROR(IF(INDEX(Informatiebehoefte_NL[EU of NL],ROW()-2)="","[Automatic]",INDEX(Informatiebehoefte_NL[EU of NL],ROW()-2)),"[Automatic]")</f>
        <v>[Automatic]</v>
      </c>
      <c r="C8" s="24"/>
      <c r="D8" s="24"/>
      <c r="E8" s="24"/>
      <c r="F8" s="24"/>
      <c r="G8" s="24"/>
      <c r="H8" s="24"/>
      <c r="I8" s="36" t="str" cm="1">
        <f t="array" ref="I8">IF(IFERROR(INDEX(Informatiebehoefte_NL[Bron(nen)],ROW()-2),"")="","[Automatic]",IFERROR(INDEX(Informatiebehoefte_NL[Bron(nen)],ROW()-2),""))</f>
        <v>[Automatic]</v>
      </c>
      <c r="J8" s="36" t="str">
        <f>_xlfn.IFNA(VLOOKUP(Informatiebehoefte_NL[[#This Row],[Mapbaar op basismodel]],'Drop down menu''s'!$A$3:$B$4,2,FALSE),"[Automatic]")</f>
        <v>[Automatic]</v>
      </c>
      <c r="K8" s="36" t="str">
        <f>_xlfn.IFNA(VLOOKUP(Informatiebehoefte_NL[[#This Row],[Opgenomen of niet-opgenomen]],'Drop down menu''s'!$A$10:$B$11,2,FALSE),"[Automatic]")</f>
        <v>[Automatic]</v>
      </c>
      <c r="L8" s="36" t="str" cm="1">
        <f t="array" ref="L8">IFERROR(IF(INDEX(Informatiebehoefte_NL[Afgeleid van],ROW()-2)="","[Automatic]",INDEX(Informatiebehoefte_NL[Afgeleid van],ROW()-2)),"[Automatic]")</f>
        <v>[Automatic]</v>
      </c>
      <c r="M8" s="30"/>
    </row>
    <row r="9" spans="1:13" x14ac:dyDescent="0.25">
      <c r="A9" s="36" t="str" cm="1">
        <f t="array" ref="A9">IFERROR(IF(INDEX(Informatiebehoefte_NL[Key],ROW()-2)="","[Automatic]",INDEX(Informatiebehoefte_NL[Key],ROW()-2)),"[Automatic]")</f>
        <v>[Automatic]</v>
      </c>
      <c r="B9" s="36" t="str" cm="1">
        <f t="array" ref="B9">IFERROR(IF(INDEX(Informatiebehoefte_NL[EU of NL],ROW()-2)="","[Automatic]",INDEX(Informatiebehoefte_NL[EU of NL],ROW()-2)),"[Automatic]")</f>
        <v>[Automatic]</v>
      </c>
      <c r="C9" s="24"/>
      <c r="D9" s="24"/>
      <c r="E9" s="24"/>
      <c r="F9" s="24"/>
      <c r="G9" s="24"/>
      <c r="H9" s="24"/>
      <c r="I9" s="36" t="str" cm="1">
        <f t="array" ref="I9">IF(IFERROR(INDEX(Informatiebehoefte_NL[Bron(nen)],ROW()-2),"")="","[Automatic]",IFERROR(INDEX(Informatiebehoefte_NL[Bron(nen)],ROW()-2),""))</f>
        <v>[Automatic]</v>
      </c>
      <c r="J9" s="36" t="str">
        <f>_xlfn.IFNA(VLOOKUP(Informatiebehoefte_NL[[#This Row],[Mapbaar op basismodel]],'Drop down menu''s'!$A$3:$B$4,2,FALSE),"[Automatic]")</f>
        <v>[Automatic]</v>
      </c>
      <c r="K9" s="36" t="str">
        <f>_xlfn.IFNA(VLOOKUP(Informatiebehoefte_NL[[#This Row],[Opgenomen of niet-opgenomen]],'Drop down menu''s'!$A$10:$B$11,2,FALSE),"[Automatic]")</f>
        <v>[Automatic]</v>
      </c>
      <c r="L9" s="36" t="str" cm="1">
        <f t="array" ref="L9">IFERROR(IF(INDEX(Informatiebehoefte_NL[Afgeleid van],ROW()-2)="","[Automatic]",INDEX(Informatiebehoefte_NL[Afgeleid van],ROW()-2)),"[Automatic]")</f>
        <v>[Automatic]</v>
      </c>
      <c r="M9" s="30"/>
    </row>
    <row r="10" spans="1:13" x14ac:dyDescent="0.25">
      <c r="A10" s="36" t="str" cm="1">
        <f t="array" ref="A10">IFERROR(IF(INDEX(Informatiebehoefte_NL[Key],ROW()-2)="","[Automatic]",INDEX(Informatiebehoefte_NL[Key],ROW()-2)),"[Automatic]")</f>
        <v>[Automatic]</v>
      </c>
      <c r="B10" s="36" t="str" cm="1">
        <f t="array" ref="B10">IFERROR(IF(INDEX(Informatiebehoefte_NL[EU of NL],ROW()-2)="","[Automatic]",INDEX(Informatiebehoefte_NL[EU of NL],ROW()-2)),"[Automatic]")</f>
        <v>[Automatic]</v>
      </c>
      <c r="C10" s="24"/>
      <c r="D10" s="24"/>
      <c r="E10" s="24"/>
      <c r="F10" s="24"/>
      <c r="G10" s="24"/>
      <c r="H10" s="24"/>
      <c r="I10" s="36" t="str" cm="1">
        <f t="array" ref="I10">IF(IFERROR(INDEX(Informatiebehoefte_NL[Bron(nen)],ROW()-2),"")="","[Automatic]",IFERROR(INDEX(Informatiebehoefte_NL[Bron(nen)],ROW()-2),""))</f>
        <v>[Automatic]</v>
      </c>
      <c r="J10" s="36" t="str">
        <f>_xlfn.IFNA(VLOOKUP(Informatiebehoefte_NL[[#This Row],[Mapbaar op basismodel]],'Drop down menu''s'!$A$3:$B$4,2,FALSE),"[Automatic]")</f>
        <v>[Automatic]</v>
      </c>
      <c r="K10" s="36" t="str">
        <f>_xlfn.IFNA(VLOOKUP(Informatiebehoefte_NL[[#This Row],[Opgenomen of niet-opgenomen]],'Drop down menu''s'!$A$10:$B$11,2,FALSE),"[Automatic]")</f>
        <v>[Automatic]</v>
      </c>
      <c r="L10" s="36" t="str" cm="1">
        <f t="array" ref="L10">IFERROR(IF(INDEX(Informatiebehoefte_NL[Afgeleid van],ROW()-2)="","[Automatic]",INDEX(Informatiebehoefte_NL[Afgeleid van],ROW()-2)),"[Automatic]")</f>
        <v>[Automatic]</v>
      </c>
      <c r="M10" s="30"/>
    </row>
    <row r="11" spans="1:13" x14ac:dyDescent="0.25">
      <c r="A11" s="36" t="str" cm="1">
        <f t="array" ref="A11">IFERROR(IF(INDEX(Informatiebehoefte_NL[Key],ROW()-2)="","[Automatic]",INDEX(Informatiebehoefte_NL[Key],ROW()-2)),"[Automatic]")</f>
        <v>[Automatic]</v>
      </c>
      <c r="B11" s="36" t="str" cm="1">
        <f t="array" ref="B11">IFERROR(IF(INDEX(Informatiebehoefte_NL[EU of NL],ROW()-2)="","[Automatic]",INDEX(Informatiebehoefte_NL[EU of NL],ROW()-2)),"[Automatic]")</f>
        <v>[Automatic]</v>
      </c>
      <c r="C11" s="24"/>
      <c r="D11" s="24"/>
      <c r="E11" s="24"/>
      <c r="F11" s="24"/>
      <c r="G11" s="24"/>
      <c r="H11" s="24"/>
      <c r="I11" s="36" t="str" cm="1">
        <f t="array" ref="I11">IF(IFERROR(INDEX(Informatiebehoefte_NL[Bron(nen)],ROW()-2),"")="","[Automatic]",IFERROR(INDEX(Informatiebehoefte_NL[Bron(nen)],ROW()-2),""))</f>
        <v>[Automatic]</v>
      </c>
      <c r="J11" s="36" t="str">
        <f>_xlfn.IFNA(VLOOKUP(Informatiebehoefte_NL[[#This Row],[Mapbaar op basismodel]],'Drop down menu''s'!$A$3:$B$4,2,FALSE),"[Automatic]")</f>
        <v>[Automatic]</v>
      </c>
      <c r="K11" s="36" t="str">
        <f>_xlfn.IFNA(VLOOKUP(Informatiebehoefte_NL[[#This Row],[Opgenomen of niet-opgenomen]],'Drop down menu''s'!$A$10:$B$11,2,FALSE),"[Automatic]")</f>
        <v>[Automatic]</v>
      </c>
      <c r="L11" s="36" t="str" cm="1">
        <f t="array" ref="L11">IFERROR(IF(INDEX(Informatiebehoefte_NL[Afgeleid van],ROW()-2)="","[Automatic]",INDEX(Informatiebehoefte_NL[Afgeleid van],ROW()-2)),"[Automatic]")</f>
        <v>[Automatic]</v>
      </c>
      <c r="M11" s="30"/>
    </row>
    <row r="12" spans="1:13" x14ac:dyDescent="0.25">
      <c r="A12" s="36" t="str" cm="1">
        <f t="array" ref="A12">IFERROR(IF(INDEX(Informatiebehoefte_NL[Key],ROW()-2)="","[Automatic]",INDEX(Informatiebehoefte_NL[Key],ROW()-2)),"[Automatic]")</f>
        <v>[Automatic]</v>
      </c>
      <c r="B12" s="36" t="str" cm="1">
        <f t="array" ref="B12">IFERROR(IF(INDEX(Informatiebehoefte_NL[EU of NL],ROW()-2)="","[Automatic]",INDEX(Informatiebehoefte_NL[EU of NL],ROW()-2)),"[Automatic]")</f>
        <v>[Automatic]</v>
      </c>
      <c r="C12" s="24"/>
      <c r="D12" s="24"/>
      <c r="E12" s="24"/>
      <c r="F12" s="24"/>
      <c r="G12" s="24"/>
      <c r="H12" s="24"/>
      <c r="I12" s="36" t="str" cm="1">
        <f t="array" ref="I12">IF(IFERROR(INDEX(Informatiebehoefte_NL[Bron(nen)],ROW()-2),"")="","[Automatic]",IFERROR(INDEX(Informatiebehoefte_NL[Bron(nen)],ROW()-2),""))</f>
        <v>[Automatic]</v>
      </c>
      <c r="J12" s="36" t="str">
        <f>_xlfn.IFNA(VLOOKUP(Informatiebehoefte_NL[[#This Row],[Mapbaar op basismodel]],'Drop down menu''s'!$A$3:$B$4,2,FALSE),"[Automatic]")</f>
        <v>[Automatic]</v>
      </c>
      <c r="K12" s="36" t="str">
        <f>_xlfn.IFNA(VLOOKUP(Informatiebehoefte_NL[[#This Row],[Opgenomen of niet-opgenomen]],'Drop down menu''s'!$A$10:$B$11,2,FALSE),"[Automatic]")</f>
        <v>[Automatic]</v>
      </c>
      <c r="L12" s="36" t="str" cm="1">
        <f t="array" ref="L12">IFERROR(IF(INDEX(Informatiebehoefte_NL[Afgeleid van],ROW()-2)="","[Automatic]",INDEX(Informatiebehoefte_NL[Afgeleid van],ROW()-2)),"[Automatic]")</f>
        <v>[Automatic]</v>
      </c>
      <c r="M12" s="30"/>
    </row>
    <row r="13" spans="1:13" x14ac:dyDescent="0.25">
      <c r="A13" s="36" t="str" cm="1">
        <f t="array" ref="A13">IFERROR(IF(INDEX(Informatiebehoefte_NL[Key],ROW()-2)="","[Automatic]",INDEX(Informatiebehoefte_NL[Key],ROW()-2)),"[Automatic]")</f>
        <v>[Automatic]</v>
      </c>
      <c r="B13" s="36" t="str" cm="1">
        <f t="array" ref="B13">IFERROR(IF(INDEX(Informatiebehoefte_NL[EU of NL],ROW()-2)="","[Automatic]",INDEX(Informatiebehoefte_NL[EU of NL],ROW()-2)),"[Automatic]")</f>
        <v>[Automatic]</v>
      </c>
      <c r="C13" s="24"/>
      <c r="D13" s="24"/>
      <c r="E13" s="24"/>
      <c r="F13" s="24"/>
      <c r="G13" s="24"/>
      <c r="H13" s="24"/>
      <c r="I13" s="36" t="str" cm="1">
        <f t="array" ref="I13">IF(IFERROR(INDEX(Informatiebehoefte_NL[Bron(nen)],ROW()-2),"")="","[Automatic]",IFERROR(INDEX(Informatiebehoefte_NL[Bron(nen)],ROW()-2),""))</f>
        <v>[Automatic]</v>
      </c>
      <c r="J13" s="36" t="str">
        <f>_xlfn.IFNA(VLOOKUP(Informatiebehoefte_NL[[#This Row],[Mapbaar op basismodel]],'Drop down menu''s'!$A$3:$B$4,2,FALSE),"[Automatic]")</f>
        <v>[Automatic]</v>
      </c>
      <c r="K13" s="36" t="str">
        <f>_xlfn.IFNA(VLOOKUP(Informatiebehoefte_NL[[#This Row],[Opgenomen of niet-opgenomen]],'Drop down menu''s'!$A$10:$B$11,2,FALSE),"[Automatic]")</f>
        <v>[Automatic]</v>
      </c>
      <c r="L13" s="36" t="str" cm="1">
        <f t="array" ref="L13">IFERROR(IF(INDEX(Informatiebehoefte_NL[Afgeleid van],ROW()-2)="","[Automatic]",INDEX(Informatiebehoefte_NL[Afgeleid van],ROW()-2)),"[Automatic]")</f>
        <v>[Automatic]</v>
      </c>
      <c r="M13" s="30"/>
    </row>
    <row r="14" spans="1:13" x14ac:dyDescent="0.25">
      <c r="A14" s="36" t="str" cm="1">
        <f t="array" ref="A14">IFERROR(IF(INDEX(Informatiebehoefte_NL[Key],ROW()-2)="","[Automatic]",INDEX(Informatiebehoefte_NL[Key],ROW()-2)),"[Automatic]")</f>
        <v>[Automatic]</v>
      </c>
      <c r="B14" s="36" t="str" cm="1">
        <f t="array" ref="B14">IFERROR(IF(INDEX(Informatiebehoefte_NL[EU of NL],ROW()-2)="","[Automatic]",INDEX(Informatiebehoefte_NL[EU of NL],ROW()-2)),"[Automatic]")</f>
        <v>[Automatic]</v>
      </c>
      <c r="C14" s="24"/>
      <c r="D14" s="24"/>
      <c r="E14" s="24"/>
      <c r="F14" s="24"/>
      <c r="G14" s="24"/>
      <c r="H14" s="24"/>
      <c r="I14" s="36" t="str" cm="1">
        <f t="array" ref="I14">IF(IFERROR(INDEX(Informatiebehoefte_NL[Bron(nen)],ROW()-2),"")="","[Automatic]",IFERROR(INDEX(Informatiebehoefte_NL[Bron(nen)],ROW()-2),""))</f>
        <v>[Automatic]</v>
      </c>
      <c r="J14" s="36" t="str">
        <f>_xlfn.IFNA(VLOOKUP(Informatiebehoefte_NL[[#This Row],[Mapbaar op basismodel]],'Drop down menu''s'!$A$3:$B$4,2,FALSE),"[Automatic]")</f>
        <v>[Automatic]</v>
      </c>
      <c r="K14" s="36" t="str">
        <f>_xlfn.IFNA(VLOOKUP(Informatiebehoefte_NL[[#This Row],[Opgenomen of niet-opgenomen]],'Drop down menu''s'!$A$10:$B$11,2,FALSE),"[Automatic]")</f>
        <v>[Automatic]</v>
      </c>
      <c r="L14" s="36" t="str" cm="1">
        <f t="array" ref="L14">IFERROR(IF(INDEX(Informatiebehoefte_NL[Afgeleid van],ROW()-2)="","[Automatic]",INDEX(Informatiebehoefte_NL[Afgeleid van],ROW()-2)),"[Automatic]")</f>
        <v>[Automatic]</v>
      </c>
      <c r="M14" s="30"/>
    </row>
    <row r="15" spans="1:13" x14ac:dyDescent="0.25">
      <c r="A15" s="36" t="str" cm="1">
        <f t="array" ref="A15">IFERROR(IF(INDEX(Informatiebehoefte_NL[Key],ROW()-2)="","[Automatic]",INDEX(Informatiebehoefte_NL[Key],ROW()-2)),"[Automatic]")</f>
        <v>[Automatic]</v>
      </c>
      <c r="B15" s="36" t="str" cm="1">
        <f t="array" ref="B15">IFERROR(IF(INDEX(Informatiebehoefte_NL[EU of NL],ROW()-2)="","[Automatic]",INDEX(Informatiebehoefte_NL[EU of NL],ROW()-2)),"[Automatic]")</f>
        <v>[Automatic]</v>
      </c>
      <c r="C15" s="24"/>
      <c r="D15" s="24"/>
      <c r="E15" s="24"/>
      <c r="F15" s="24"/>
      <c r="G15" s="24"/>
      <c r="H15" s="24"/>
      <c r="I15" s="36" t="str" cm="1">
        <f t="array" ref="I15">IF(IFERROR(INDEX(Informatiebehoefte_NL[Bron(nen)],ROW()-2),"")="","[Automatic]",IFERROR(INDEX(Informatiebehoefte_NL[Bron(nen)],ROW()-2),""))</f>
        <v>[Automatic]</v>
      </c>
      <c r="J15" s="36" t="str">
        <f>_xlfn.IFNA(VLOOKUP(Informatiebehoefte_NL[[#This Row],[Mapbaar op basismodel]],'Drop down menu''s'!$A$3:$B$4,2,FALSE),"[Automatic]")</f>
        <v>[Automatic]</v>
      </c>
      <c r="K15" s="36" t="str">
        <f>_xlfn.IFNA(VLOOKUP(Informatiebehoefte_NL[[#This Row],[Opgenomen of niet-opgenomen]],'Drop down menu''s'!$A$10:$B$11,2,FALSE),"[Automatic]")</f>
        <v>[Automatic]</v>
      </c>
      <c r="L15" s="36" t="str" cm="1">
        <f t="array" ref="L15">IFERROR(IF(INDEX(Informatiebehoefte_NL[Afgeleid van],ROW()-2)="","[Automatic]",INDEX(Informatiebehoefte_NL[Afgeleid van],ROW()-2)),"[Automatic]")</f>
        <v>[Automatic]</v>
      </c>
      <c r="M15" s="30"/>
    </row>
    <row r="16" spans="1:13" x14ac:dyDescent="0.25">
      <c r="A16" s="36" t="str" cm="1">
        <f t="array" ref="A16">IFERROR(IF(INDEX(Informatiebehoefte_NL[Key],ROW()-2)="","[Automatic]",INDEX(Informatiebehoefte_NL[Key],ROW()-2)),"[Automatic]")</f>
        <v>[Automatic]</v>
      </c>
      <c r="B16" s="36" t="str" cm="1">
        <f t="array" ref="B16">IFERROR(IF(INDEX(Informatiebehoefte_NL[EU of NL],ROW()-2)="","[Automatic]",INDEX(Informatiebehoefte_NL[EU of NL],ROW()-2)),"[Automatic]")</f>
        <v>[Automatic]</v>
      </c>
      <c r="C16" s="24"/>
      <c r="D16" s="24"/>
      <c r="E16" s="24"/>
      <c r="F16" s="24"/>
      <c r="G16" s="24"/>
      <c r="H16" s="24"/>
      <c r="I16" s="36" t="str" cm="1">
        <f t="array" ref="I16">IF(IFERROR(INDEX(Informatiebehoefte_NL[Bron(nen)],ROW()-2),"")="","[Automatic]",IFERROR(INDEX(Informatiebehoefte_NL[Bron(nen)],ROW()-2),""))</f>
        <v>[Automatic]</v>
      </c>
      <c r="J16" s="36" t="str">
        <f>_xlfn.IFNA(VLOOKUP(Informatiebehoefte_NL[[#This Row],[Mapbaar op basismodel]],'Drop down menu''s'!$A$3:$B$4,2,FALSE),"[Automatic]")</f>
        <v>[Automatic]</v>
      </c>
      <c r="K16" s="36" t="str">
        <f>_xlfn.IFNA(VLOOKUP(Informatiebehoefte_NL[[#This Row],[Opgenomen of niet-opgenomen]],'Drop down menu''s'!$A$10:$B$11,2,FALSE),"[Automatic]")</f>
        <v>[Automatic]</v>
      </c>
      <c r="L16" s="36" t="str" cm="1">
        <f t="array" ref="L16">IFERROR(IF(INDEX(Informatiebehoefte_NL[Afgeleid van],ROW()-2)="","[Automatic]",INDEX(Informatiebehoefte_NL[Afgeleid van],ROW()-2)),"[Automatic]")</f>
        <v>[Automatic]</v>
      </c>
      <c r="M16" s="30"/>
    </row>
    <row r="17" spans="1:13" x14ac:dyDescent="0.25">
      <c r="A17" s="36" t="str" cm="1">
        <f t="array" ref="A17">IFERROR(IF(INDEX(Informatiebehoefte_NL[Key],ROW()-2)="","[Automatic]",INDEX(Informatiebehoefte_NL[Key],ROW()-2)),"[Automatic]")</f>
        <v>[Automatic]</v>
      </c>
      <c r="B17" s="36" t="str" cm="1">
        <f t="array" ref="B17">IFERROR(IF(INDEX(Informatiebehoefte_NL[EU of NL],ROW()-2)="","[Automatic]",INDEX(Informatiebehoefte_NL[EU of NL],ROW()-2)),"[Automatic]")</f>
        <v>[Automatic]</v>
      </c>
      <c r="C17" s="24"/>
      <c r="D17" s="24"/>
      <c r="E17" s="24"/>
      <c r="F17" s="24"/>
      <c r="G17" s="24"/>
      <c r="H17" s="24"/>
      <c r="I17" s="36" t="str" cm="1">
        <f t="array" ref="I17">IF(IFERROR(INDEX(Informatiebehoefte_NL[Bron(nen)],ROW()-2),"")="","[Automatic]",IFERROR(INDEX(Informatiebehoefte_NL[Bron(nen)],ROW()-2),""))</f>
        <v>[Automatic]</v>
      </c>
      <c r="J17" s="36" t="str">
        <f>_xlfn.IFNA(VLOOKUP(Informatiebehoefte_NL[[#This Row],[Mapbaar op basismodel]],'Drop down menu''s'!$A$3:$B$4,2,FALSE),"[Automatic]")</f>
        <v>[Automatic]</v>
      </c>
      <c r="K17" s="36" t="str">
        <f>_xlfn.IFNA(VLOOKUP(Informatiebehoefte_NL[[#This Row],[Opgenomen of niet-opgenomen]],'Drop down menu''s'!$A$10:$B$11,2,FALSE),"[Automatic]")</f>
        <v>[Automatic]</v>
      </c>
      <c r="L17" s="36" t="str" cm="1">
        <f t="array" ref="L17">IFERROR(IF(INDEX(Informatiebehoefte_NL[Afgeleid van],ROW()-2)="","[Automatic]",INDEX(Informatiebehoefte_NL[Afgeleid van],ROW()-2)),"[Automatic]")</f>
        <v>[Automatic]</v>
      </c>
      <c r="M17" s="30"/>
    </row>
    <row r="18" spans="1:13" x14ac:dyDescent="0.25">
      <c r="A18" s="36" t="str" cm="1">
        <f t="array" ref="A18">IFERROR(IF(INDEX(Informatiebehoefte_NL[Key],ROW()-2)="","[Automatic]",INDEX(Informatiebehoefte_NL[Key],ROW()-2)),"[Automatic]")</f>
        <v>[Automatic]</v>
      </c>
      <c r="B18" s="36" t="str" cm="1">
        <f t="array" ref="B18">IFERROR(IF(INDEX(Informatiebehoefte_NL[EU of NL],ROW()-2)="","[Automatic]",INDEX(Informatiebehoefte_NL[EU of NL],ROW()-2)),"[Automatic]")</f>
        <v>[Automatic]</v>
      </c>
      <c r="C18" s="31"/>
      <c r="D18" s="31"/>
      <c r="E18" s="31"/>
      <c r="F18" s="31"/>
      <c r="G18" s="31"/>
      <c r="H18" s="31"/>
      <c r="I18" s="36" t="str" cm="1">
        <f t="array" ref="I18">IF(IFERROR(INDEX(Informatiebehoefte_NL[Bron(nen)],ROW()-2),"")="","[Automatic]",IFERROR(INDEX(Informatiebehoefte_NL[Bron(nen)],ROW()-2),""))</f>
        <v>[Automatic]</v>
      </c>
      <c r="J18" s="38" t="str">
        <f>_xlfn.IFNA(VLOOKUP(Informatiebehoefte_NL[[#This Row],[Mapbaar op basismodel]],'Drop down menu''s'!$A$3:$B$4,2,FALSE),"[Automatic]")</f>
        <v>[Automatic]</v>
      </c>
      <c r="K18" s="36" t="str">
        <f>_xlfn.IFNA(VLOOKUP(Informatiebehoefte_NL[[#This Row],[Opgenomen of niet-opgenomen]],'Drop down menu''s'!$A$10:$B$11,2,FALSE),"[Automatic]")</f>
        <v>[Automatic]</v>
      </c>
      <c r="L18" s="36" t="str" cm="1">
        <f t="array" ref="L18">IFERROR(IF(INDEX(Informatiebehoefte_NL[Afgeleid van],ROW()-2)="","[Automatic]",INDEX(Informatiebehoefte_NL[Afgeleid van],ROW()-2)),"[Automatic]")</f>
        <v>[Automatic]</v>
      </c>
      <c r="M18" s="32"/>
    </row>
    <row r="19" spans="1:13" x14ac:dyDescent="0.25">
      <c r="A19" s="36" t="str" cm="1">
        <f t="array" ref="A19">IFERROR(IF(INDEX(Informatiebehoefte_NL[Key],ROW()-2)="","[Automatic]",INDEX(Informatiebehoefte_NL[Key],ROW()-2)),"[Automatic]")</f>
        <v>[Automatic]</v>
      </c>
      <c r="B19" s="36" t="str" cm="1">
        <f t="array" ref="B19">IFERROR(IF(INDEX(Informatiebehoefte_NL[EU of NL],ROW()-2)="","[Automatic]",INDEX(Informatiebehoefte_NL[EU of NL],ROW()-2)),"[Automatic]")</f>
        <v>[Automatic]</v>
      </c>
      <c r="C19" s="31"/>
      <c r="D19" s="31"/>
      <c r="E19" s="31"/>
      <c r="F19" s="31"/>
      <c r="G19" s="31"/>
      <c r="H19" s="31"/>
      <c r="I19" s="36" t="str" cm="1">
        <f t="array" ref="I19">IF(IFERROR(INDEX(Informatiebehoefte_NL[Bron(nen)],ROW()-2),"")="","[Automatic]",IFERROR(INDEX(Informatiebehoefte_NL[Bron(nen)],ROW()-2),""))</f>
        <v>[Automatic]</v>
      </c>
      <c r="J19" s="38" t="str">
        <f>_xlfn.IFNA(VLOOKUP(Informatiebehoefte_NL[[#This Row],[Mapbaar op basismodel]],'Drop down menu''s'!$A$3:$B$4,2,FALSE),"[Automatic]")</f>
        <v>[Automatic]</v>
      </c>
      <c r="K19" s="36" t="str">
        <f>_xlfn.IFNA(VLOOKUP(Informatiebehoefte_NL[[#This Row],[Opgenomen of niet-opgenomen]],'Drop down menu''s'!$A$10:$B$11,2,FALSE),"[Automatic]")</f>
        <v>[Automatic]</v>
      </c>
      <c r="L19" s="36" t="str" cm="1">
        <f t="array" ref="L19">IFERROR(IF(INDEX(Informatiebehoefte_NL[Afgeleid van],ROW()-2)="","[Automatic]",INDEX(Informatiebehoefte_NL[Afgeleid van],ROW()-2)),"[Automatic]")</f>
        <v>[Automatic]</v>
      </c>
      <c r="M19" s="32"/>
    </row>
    <row r="20" spans="1:13" x14ac:dyDescent="0.25">
      <c r="A20" s="36" t="str" cm="1">
        <f t="array" ref="A20">IFERROR(IF(INDEX(Informatiebehoefte_NL[Key],ROW()-2)="","[Automatic]",INDEX(Informatiebehoefte_NL[Key],ROW()-2)),"[Automatic]")</f>
        <v>[Automatic]</v>
      </c>
      <c r="B20" s="36" t="str" cm="1">
        <f t="array" ref="B20">IFERROR(IF(INDEX(Informatiebehoefte_NL[EU of NL],ROW()-2)="","[Automatic]",INDEX(Informatiebehoefte_NL[EU of NL],ROW()-2)),"[Automatic]")</f>
        <v>[Automatic]</v>
      </c>
      <c r="C20" s="31"/>
      <c r="D20" s="31"/>
      <c r="E20" s="31"/>
      <c r="F20" s="31"/>
      <c r="G20" s="31"/>
      <c r="H20" s="31"/>
      <c r="I20" s="36" t="str" cm="1">
        <f t="array" ref="I20">IF(IFERROR(INDEX(Informatiebehoefte_NL[Bron(nen)],ROW()-2),"")="","[Automatic]",IFERROR(INDEX(Informatiebehoefte_NL[Bron(nen)],ROW()-2),""))</f>
        <v>[Automatic]</v>
      </c>
      <c r="J20" s="38" t="str">
        <f>_xlfn.IFNA(VLOOKUP(Informatiebehoefte_NL[[#This Row],[Mapbaar op basismodel]],'Drop down menu''s'!$A$3:$B$4,2,FALSE),"[Automatic]")</f>
        <v>[Automatic]</v>
      </c>
      <c r="K20" s="36" t="str">
        <f>_xlfn.IFNA(VLOOKUP(Informatiebehoefte_NL[[#This Row],[Opgenomen of niet-opgenomen]],'Drop down menu''s'!$A$10:$B$11,2,FALSE),"[Automatic]")</f>
        <v>[Automatic]</v>
      </c>
      <c r="L20" s="36" t="str" cm="1">
        <f t="array" ref="L20">IFERROR(IF(INDEX(Informatiebehoefte_NL[Afgeleid van],ROW()-2)="","[Automatic]",INDEX(Informatiebehoefte_NL[Afgeleid van],ROW()-2)),"[Automatic]")</f>
        <v>[Automatic]</v>
      </c>
      <c r="M20" s="32"/>
    </row>
    <row r="21" spans="1:13" x14ac:dyDescent="0.25">
      <c r="A21" s="36" t="str" cm="1">
        <f t="array" ref="A21">IFERROR(IF(INDEX(Informatiebehoefte_NL[Key],ROW()-2)="","[Automatic]",INDEX(Informatiebehoefte_NL[Key],ROW()-2)),"[Automatic]")</f>
        <v>[Automatic]</v>
      </c>
      <c r="B21" s="36" t="str" cm="1">
        <f t="array" ref="B21">IFERROR(IF(INDEX(Informatiebehoefte_NL[EU of NL],ROW()-2)="","[Automatic]",INDEX(Informatiebehoefte_NL[EU of NL],ROW()-2)),"[Automatic]")</f>
        <v>[Automatic]</v>
      </c>
      <c r="C21" s="31"/>
      <c r="D21" s="31"/>
      <c r="E21" s="31"/>
      <c r="F21" s="31"/>
      <c r="G21" s="31"/>
      <c r="H21" s="31"/>
      <c r="I21" s="36" t="str" cm="1">
        <f t="array" ref="I21">IF(IFERROR(INDEX(Informatiebehoefte_NL[Bron(nen)],ROW()-2),"")="","[Automatic]",IFERROR(INDEX(Informatiebehoefte_NL[Bron(nen)],ROW()-2),""))</f>
        <v>[Automatic]</v>
      </c>
      <c r="J21" s="38" t="str">
        <f>_xlfn.IFNA(VLOOKUP(Informatiebehoefte_NL[[#This Row],[Mapbaar op basismodel]],'Drop down menu''s'!$A$3:$B$4,2,FALSE),"[Automatic]")</f>
        <v>[Automatic]</v>
      </c>
      <c r="K21" s="36" t="str">
        <f>_xlfn.IFNA(VLOOKUP(Informatiebehoefte_NL[[#This Row],[Opgenomen of niet-opgenomen]],'Drop down menu''s'!$A$10:$B$11,2,FALSE),"[Automatic]")</f>
        <v>[Automatic]</v>
      </c>
      <c r="L21" s="36" t="str" cm="1">
        <f t="array" ref="L21">IFERROR(IF(INDEX(Informatiebehoefte_NL[Afgeleid van],ROW()-2)="","[Automatic]",INDEX(Informatiebehoefte_NL[Afgeleid van],ROW()-2)),"[Automatic]")</f>
        <v>[Automatic]</v>
      </c>
      <c r="M21" s="32"/>
    </row>
    <row r="22" spans="1:13" x14ac:dyDescent="0.25">
      <c r="A22" s="36" t="str" cm="1">
        <f t="array" ref="A22">IFERROR(IF(INDEX(Informatiebehoefte_NL[Key],ROW()-2)="","[Automatic]",INDEX(Informatiebehoefte_NL[Key],ROW()-2)),"[Automatic]")</f>
        <v>[Automatic]</v>
      </c>
      <c r="B22" s="36" t="str" cm="1">
        <f t="array" ref="B22">IFERROR(IF(INDEX(Informatiebehoefte_NL[EU of NL],ROW()-2)="","[Automatic]",INDEX(Informatiebehoefte_NL[EU of NL],ROW()-2)),"[Automatic]")</f>
        <v>[Automatic]</v>
      </c>
      <c r="C22" s="31"/>
      <c r="D22" s="31"/>
      <c r="E22" s="31"/>
      <c r="F22" s="31"/>
      <c r="G22" s="31"/>
      <c r="H22" s="31"/>
      <c r="I22" s="36" t="str" cm="1">
        <f t="array" ref="I22">IF(IFERROR(INDEX(Informatiebehoefte_NL[Bron(nen)],ROW()-2),"")="","[Automatic]",IFERROR(INDEX(Informatiebehoefte_NL[Bron(nen)],ROW()-2),""))</f>
        <v>[Automatic]</v>
      </c>
      <c r="J22" s="38" t="str">
        <f>_xlfn.IFNA(VLOOKUP(Informatiebehoefte_NL[[#This Row],[Mapbaar op basismodel]],'Drop down menu''s'!$A$3:$B$4,2,FALSE),"[Automatic]")</f>
        <v>[Automatic]</v>
      </c>
      <c r="K22" s="36" t="str">
        <f>_xlfn.IFNA(VLOOKUP(Informatiebehoefte_NL[[#This Row],[Opgenomen of niet-opgenomen]],'Drop down menu''s'!$A$10:$B$11,2,FALSE),"[Automatic]")</f>
        <v>[Automatic]</v>
      </c>
      <c r="L22" s="36" t="str" cm="1">
        <f t="array" ref="L22">IFERROR(IF(INDEX(Informatiebehoefte_NL[Afgeleid van],ROW()-2)="","[Automatic]",INDEX(Informatiebehoefte_NL[Afgeleid van],ROW()-2)),"[Automatic]")</f>
        <v>[Automatic]</v>
      </c>
      <c r="M22" s="32"/>
    </row>
    <row r="23" spans="1:13" x14ac:dyDescent="0.25">
      <c r="A23" s="36" t="str" cm="1">
        <f t="array" ref="A23">IFERROR(IF(INDEX(Informatiebehoefte_NL[Key],ROW()-2)="","[Automatic]",INDEX(Informatiebehoefte_NL[Key],ROW()-2)),"[Automatic]")</f>
        <v>[Automatic]</v>
      </c>
      <c r="B23" s="36" t="str" cm="1">
        <f t="array" ref="B23">IFERROR(IF(INDEX(Informatiebehoefte_NL[EU of NL],ROW()-2)="","[Automatic]",INDEX(Informatiebehoefte_NL[EU of NL],ROW()-2)),"[Automatic]")</f>
        <v>[Automatic]</v>
      </c>
      <c r="C23" s="33"/>
      <c r="D23" s="34"/>
      <c r="E23" s="34"/>
      <c r="F23" s="34"/>
      <c r="G23" s="34"/>
      <c r="H23" s="34"/>
      <c r="I23" s="36" t="str" cm="1">
        <f t="array" ref="I23">IF(IFERROR(INDEX(Informatiebehoefte_NL[Bron(nen)],ROW()-2),"")="","[Automatic]",IFERROR(INDEX(Informatiebehoefte_NL[Bron(nen)],ROW()-2),""))</f>
        <v>[Automatic]</v>
      </c>
      <c r="J23" s="39" t="str">
        <f>_xlfn.IFNA(VLOOKUP(Informatiebehoefte_NL[[#This Row],[Mapbaar op basismodel]],'Drop down menu''s'!$A$3:$B$4,2,FALSE),"[Automatic]")</f>
        <v>[Automatic]</v>
      </c>
      <c r="K23" s="39" t="str">
        <f>_xlfn.IFNA(VLOOKUP(Informatiebehoefte_NL[[#This Row],[Opgenomen of niet-opgenomen]],'Drop down menu''s'!$A$10:$B$11,2,FALSE),"[Automatic]")</f>
        <v>[Automatic]</v>
      </c>
      <c r="L23" s="37" t="str" cm="1">
        <f t="array" ref="L23">IFERROR(IF(INDEX(Informatiebehoefte_NL[Afgeleid van],ROW()-2)="","[Automatic]",INDEX(Informatiebehoefte_NL[Afgeleid van],ROW()-2)),"[Automatic]")</f>
        <v>[Automatic]</v>
      </c>
      <c r="M23" s="35"/>
    </row>
    <row r="24" spans="1:13" x14ac:dyDescent="0.25">
      <c r="A24" s="36" t="str" cm="1">
        <f t="array" ref="A24">IFERROR(IF(INDEX(Informatiebehoefte_NL[Key],ROW()-2)="","[Automatic]",INDEX(Informatiebehoefte_NL[Key],ROW()-2)),"[Automatic]")</f>
        <v>[Automatic]</v>
      </c>
      <c r="B24" s="36" t="str" cm="1">
        <f t="array" ref="B24">IFERROR(IF(INDEX(Informatiebehoefte_NL[EU of NL],ROW()-2)="","[Automatic]",INDEX(Informatiebehoefte_NL[EU of NL],ROW()-2)),"[Automatic]")</f>
        <v>[Automatic]</v>
      </c>
      <c r="C24" s="33"/>
      <c r="D24" s="34"/>
      <c r="E24" s="34"/>
      <c r="F24" s="34"/>
      <c r="G24" s="34"/>
      <c r="H24" s="34"/>
      <c r="I24" s="36" t="str" cm="1">
        <f t="array" ref="I24">IF(IFERROR(INDEX(Informatiebehoefte_NL[Bron(nen)],ROW()-2),"")="","[Automatic]",IFERROR(INDEX(Informatiebehoefte_NL[Bron(nen)],ROW()-2),""))</f>
        <v>[Automatic]</v>
      </c>
      <c r="J24" s="39" t="str">
        <f>_xlfn.IFNA(VLOOKUP(Informatiebehoefte_NL[[#This Row],[Mapbaar op basismodel]],'Drop down menu''s'!$A$3:$B$4,2,FALSE),"[Automatic]")</f>
        <v>[Automatic]</v>
      </c>
      <c r="K24" s="39" t="str">
        <f>_xlfn.IFNA(VLOOKUP(Informatiebehoefte_NL[[#This Row],[Opgenomen of niet-opgenomen]],'Drop down menu''s'!$A$10:$B$11,2,FALSE),"[Automatic]")</f>
        <v>[Automatic]</v>
      </c>
      <c r="L24" s="37" t="str" cm="1">
        <f t="array" ref="L24">IFERROR(IF(INDEX(Informatiebehoefte_NL[Afgeleid van],ROW()-2)="","[Automatic]",INDEX(Informatiebehoefte_NL[Afgeleid van],ROW()-2)),"[Automatic]")</f>
        <v>[Automatic]</v>
      </c>
      <c r="M24" s="35"/>
    </row>
    <row r="25" spans="1:13" x14ac:dyDescent="0.25">
      <c r="A25" s="36" t="str" cm="1">
        <f t="array" ref="A25">IFERROR(IF(INDEX(Informatiebehoefte_NL[Key],ROW()-2)="","[Automatic]",INDEX(Informatiebehoefte_NL[Key],ROW()-2)),"[Automatic]")</f>
        <v>[Automatic]</v>
      </c>
      <c r="B25" s="36" t="str" cm="1">
        <f t="array" ref="B25">IFERROR(IF(INDEX(Informatiebehoefte_NL[EU of NL],ROW()-2)="","[Automatic]",INDEX(Informatiebehoefte_NL[EU of NL],ROW()-2)),"[Automatic]")</f>
        <v>[Automatic]</v>
      </c>
      <c r="C25" s="33"/>
      <c r="D25" s="34"/>
      <c r="E25" s="34"/>
      <c r="F25" s="34"/>
      <c r="G25" s="34"/>
      <c r="H25" s="34"/>
      <c r="I25" s="36" t="str" cm="1">
        <f t="array" ref="I25">IF(IFERROR(INDEX(Informatiebehoefte_NL[Bron(nen)],ROW()-2),"")="","[Automatic]",IFERROR(INDEX(Informatiebehoefte_NL[Bron(nen)],ROW()-2),""))</f>
        <v>[Automatic]</v>
      </c>
      <c r="J25" s="39" t="str">
        <f>_xlfn.IFNA(VLOOKUP(Informatiebehoefte_NL[[#This Row],[Mapbaar op basismodel]],'Drop down menu''s'!$A$3:$B$4,2,FALSE),"[Automatic]")</f>
        <v>[Automatic]</v>
      </c>
      <c r="K25" s="39" t="str">
        <f>_xlfn.IFNA(VLOOKUP(Informatiebehoefte_NL[[#This Row],[Opgenomen of niet-opgenomen]],'Drop down menu''s'!$A$10:$B$11,2,FALSE),"[Automatic]")</f>
        <v>[Automatic]</v>
      </c>
      <c r="L25" s="37" t="str" cm="1">
        <f t="array" ref="L25">IFERROR(IF(INDEX(Informatiebehoefte_NL[Afgeleid van],ROW()-2)="","[Automatic]",INDEX(Informatiebehoefte_NL[Afgeleid van],ROW()-2)),"[Automatic]")</f>
        <v>[Automatic]</v>
      </c>
      <c r="M25" s="35"/>
    </row>
    <row r="26" spans="1:13" x14ac:dyDescent="0.25">
      <c r="A26" s="36" t="str" cm="1">
        <f t="array" ref="A26">IFERROR(IF(INDEX(Informatiebehoefte_NL[Key],ROW()-2)="","[Automatic]",INDEX(Informatiebehoefte_NL[Key],ROW()-2)),"[Automatic]")</f>
        <v>[Automatic]</v>
      </c>
      <c r="B26" s="36" t="str" cm="1">
        <f t="array" ref="B26">IFERROR(IF(INDEX(Informatiebehoefte_NL[EU of NL],ROW()-2)="","[Automatic]",INDEX(Informatiebehoefte_NL[EU of NL],ROW()-2)),"[Automatic]")</f>
        <v>[Automatic]</v>
      </c>
      <c r="C26" s="33"/>
      <c r="D26" s="34"/>
      <c r="E26" s="34"/>
      <c r="F26" s="34"/>
      <c r="G26" s="34"/>
      <c r="H26" s="34"/>
      <c r="I26" s="36" t="str" cm="1">
        <f t="array" ref="I26">IF(IFERROR(INDEX(Informatiebehoefte_NL[Bron(nen)],ROW()-2),"")="","[Automatic]",IFERROR(INDEX(Informatiebehoefte_NL[Bron(nen)],ROW()-2),""))</f>
        <v>[Automatic]</v>
      </c>
      <c r="J26" s="39" t="str">
        <f>_xlfn.IFNA(VLOOKUP(Informatiebehoefte_NL[[#This Row],[Mapbaar op basismodel]],'Drop down menu''s'!$A$3:$B$4,2,FALSE),"[Automatic]")</f>
        <v>[Automatic]</v>
      </c>
      <c r="K26" s="39" t="str">
        <f>_xlfn.IFNA(VLOOKUP(Informatiebehoefte_NL[[#This Row],[Opgenomen of niet-opgenomen]],'Drop down menu''s'!$A$10:$B$11,2,FALSE),"[Automatic]")</f>
        <v>[Automatic]</v>
      </c>
      <c r="L26" s="37" t="str" cm="1">
        <f t="array" ref="L26">IFERROR(IF(INDEX(Informatiebehoefte_NL[Afgeleid van],ROW()-2)="","[Automatic]",INDEX(Informatiebehoefte_NL[Afgeleid van],ROW()-2)),"[Automatic]")</f>
        <v>[Automatic]</v>
      </c>
      <c r="M26" s="35"/>
    </row>
    <row r="27" spans="1:13" x14ac:dyDescent="0.25">
      <c r="A27" s="36" t="str" cm="1">
        <f t="array" ref="A27">IFERROR(IF(INDEX(Informatiebehoefte_NL[Key],ROW()-2)="","[Automatic]",INDEX(Informatiebehoefte_NL[Key],ROW()-2)),"[Automatic]")</f>
        <v>[Automatic]</v>
      </c>
      <c r="B27" s="36" t="str" cm="1">
        <f t="array" ref="B27">IFERROR(IF(INDEX(Informatiebehoefte_NL[EU of NL],ROW()-2)="","[Automatic]",INDEX(Informatiebehoefte_NL[EU of NL],ROW()-2)),"[Automatic]")</f>
        <v>[Automatic]</v>
      </c>
      <c r="C27" s="33"/>
      <c r="D27" s="34"/>
      <c r="E27" s="34"/>
      <c r="F27" s="34"/>
      <c r="G27" s="34"/>
      <c r="H27" s="34"/>
      <c r="I27" s="36" t="str" cm="1">
        <f t="array" ref="I27">IF(IFERROR(INDEX(Informatiebehoefte_NL[Bron(nen)],ROW()-2),"")="","[Automatic]",IFERROR(INDEX(Informatiebehoefte_NL[Bron(nen)],ROW()-2),""))</f>
        <v>[Automatic]</v>
      </c>
      <c r="J27" s="39" t="str">
        <f>_xlfn.IFNA(VLOOKUP(Informatiebehoefte_NL[[#This Row],[Mapbaar op basismodel]],'Drop down menu''s'!$A$3:$B$4,2,FALSE),"[Automatic]")</f>
        <v>[Automatic]</v>
      </c>
      <c r="K27" s="39" t="str">
        <f>_xlfn.IFNA(VLOOKUP(Informatiebehoefte_NL[[#This Row],[Opgenomen of niet-opgenomen]],'Drop down menu''s'!$A$10:$B$11,2,FALSE),"[Automatic]")</f>
        <v>[Automatic]</v>
      </c>
      <c r="L27" s="37" t="str" cm="1">
        <f t="array" ref="L27">IFERROR(IF(INDEX(Informatiebehoefte_NL[Afgeleid van],ROW()-2)="","[Automatic]",INDEX(Informatiebehoefte_NL[Afgeleid van],ROW()-2)),"[Automatic]")</f>
        <v>[Automatic]</v>
      </c>
      <c r="M27" s="35"/>
    </row>
    <row r="28" spans="1:13" x14ac:dyDescent="0.25">
      <c r="A28" s="36" t="str" cm="1">
        <f t="array" ref="A28">IFERROR(IF(INDEX(Informatiebehoefte_NL[Key],ROW()-2)="","[Automatic]",INDEX(Informatiebehoefte_NL[Key],ROW()-2)),"[Automatic]")</f>
        <v>[Automatic]</v>
      </c>
      <c r="B28" s="36" t="str" cm="1">
        <f t="array" ref="B28">IFERROR(IF(INDEX(Informatiebehoefte_NL[EU of NL],ROW()-2)="","[Automatic]",INDEX(Informatiebehoefte_NL[EU of NL],ROW()-2)),"[Automatic]")</f>
        <v>[Automatic]</v>
      </c>
      <c r="C28" s="33"/>
      <c r="D28" s="34"/>
      <c r="E28" s="34"/>
      <c r="F28" s="34"/>
      <c r="G28" s="34"/>
      <c r="H28" s="34"/>
      <c r="I28" s="36" t="str" cm="1">
        <f t="array" ref="I28">IF(IFERROR(INDEX(Informatiebehoefte_NL[Bron(nen)],ROW()-2),"")="","[Automatic]",IFERROR(INDEX(Informatiebehoefte_NL[Bron(nen)],ROW()-2),""))</f>
        <v>[Automatic]</v>
      </c>
      <c r="J28" s="39" t="str">
        <f>_xlfn.IFNA(VLOOKUP(Informatiebehoefte_NL[[#This Row],[Mapbaar op basismodel]],'Drop down menu''s'!$A$3:$B$4,2,FALSE),"[Automatic]")</f>
        <v>[Automatic]</v>
      </c>
      <c r="K28" s="39" t="str">
        <f>_xlfn.IFNA(VLOOKUP(Informatiebehoefte_NL[[#This Row],[Opgenomen of niet-opgenomen]],'Drop down menu''s'!$A$10:$B$11,2,FALSE),"[Automatic]")</f>
        <v>[Automatic]</v>
      </c>
      <c r="L28" s="37" t="str" cm="1">
        <f t="array" ref="L28">IFERROR(IF(INDEX(Informatiebehoefte_NL[Afgeleid van],ROW()-2)="","[Automatic]",INDEX(Informatiebehoefte_NL[Afgeleid van],ROW()-2)),"[Automatic]")</f>
        <v>[Automatic]</v>
      </c>
      <c r="M28" s="35"/>
    </row>
    <row r="29" spans="1:13" x14ac:dyDescent="0.25">
      <c r="A29" s="36" t="str" cm="1">
        <f t="array" ref="A29">IFERROR(IF(INDEX(Informatiebehoefte_NL[Key],ROW()-2)="","[Automatic]",INDEX(Informatiebehoefte_NL[Key],ROW()-2)),"[Automatic]")</f>
        <v>[Automatic]</v>
      </c>
      <c r="B29" s="36" t="str" cm="1">
        <f t="array" ref="B29">IFERROR(IF(INDEX(Informatiebehoefte_NL[EU of NL],ROW()-2)="","[Automatic]",INDEX(Informatiebehoefte_NL[EU of NL],ROW()-2)),"[Automatic]")</f>
        <v>[Automatic]</v>
      </c>
      <c r="C29" s="33"/>
      <c r="D29" s="34"/>
      <c r="E29" s="34"/>
      <c r="F29" s="34"/>
      <c r="G29" s="34"/>
      <c r="H29" s="34"/>
      <c r="I29" s="36" t="str" cm="1">
        <f t="array" ref="I29">IF(IFERROR(INDEX(Informatiebehoefte_NL[Bron(nen)],ROW()-2),"")="","[Automatic]",IFERROR(INDEX(Informatiebehoefte_NL[Bron(nen)],ROW()-2),""))</f>
        <v>[Automatic]</v>
      </c>
      <c r="J29" s="39" t="str">
        <f>_xlfn.IFNA(VLOOKUP(Informatiebehoefte_NL[[#This Row],[Mapbaar op basismodel]],'Drop down menu''s'!$A$3:$B$4,2,FALSE),"[Automatic]")</f>
        <v>[Automatic]</v>
      </c>
      <c r="K29" s="39" t="str">
        <f>_xlfn.IFNA(VLOOKUP(Informatiebehoefte_NL[[#This Row],[Opgenomen of niet-opgenomen]],'Drop down menu''s'!$A$10:$B$11,2,FALSE),"[Automatic]")</f>
        <v>[Automatic]</v>
      </c>
      <c r="L29" s="37" t="str" cm="1">
        <f t="array" ref="L29">IFERROR(IF(INDEX(Informatiebehoefte_NL[Afgeleid van],ROW()-2)="","[Automatic]",INDEX(Informatiebehoefte_NL[Afgeleid van],ROW()-2)),"[Automatic]")</f>
        <v>[Automatic]</v>
      </c>
      <c r="M29" s="35"/>
    </row>
    <row r="30" spans="1:13" x14ac:dyDescent="0.25">
      <c r="A30" s="36" t="str" cm="1">
        <f t="array" ref="A30">IFERROR(IF(INDEX(Informatiebehoefte_NL[Key],ROW()-2)="","[Automatic]",INDEX(Informatiebehoefte_NL[Key],ROW()-2)),"[Automatic]")</f>
        <v>[Automatic]</v>
      </c>
      <c r="B30" s="36" t="str" cm="1">
        <f t="array" ref="B30">IFERROR(IF(INDEX(Informatiebehoefte_NL[EU of NL],ROW()-2)="","[Automatic]",INDEX(Informatiebehoefte_NL[EU of NL],ROW()-2)),"[Automatic]")</f>
        <v>[Automatic]</v>
      </c>
      <c r="C30" s="33"/>
      <c r="D30" s="34"/>
      <c r="E30" s="34"/>
      <c r="F30" s="34"/>
      <c r="G30" s="34"/>
      <c r="H30" s="34"/>
      <c r="I30" s="36" t="str" cm="1">
        <f t="array" ref="I30">IF(IFERROR(INDEX(Informatiebehoefte_NL[Bron(nen)],ROW()-2),"")="","[Automatic]",IFERROR(INDEX(Informatiebehoefte_NL[Bron(nen)],ROW()-2),""))</f>
        <v>[Automatic]</v>
      </c>
      <c r="J30" s="39" t="str">
        <f>_xlfn.IFNA(VLOOKUP(Informatiebehoefte_NL[[#This Row],[Mapbaar op basismodel]],'Drop down menu''s'!$A$3:$B$4,2,FALSE),"[Automatic]")</f>
        <v>[Automatic]</v>
      </c>
      <c r="K30" s="39" t="str">
        <f>_xlfn.IFNA(VLOOKUP(Informatiebehoefte_NL[[#This Row],[Opgenomen of niet-opgenomen]],'Drop down menu''s'!$A$10:$B$11,2,FALSE),"[Automatic]")</f>
        <v>[Automatic]</v>
      </c>
      <c r="L30" s="37" t="str" cm="1">
        <f t="array" ref="L30">IFERROR(IF(INDEX(Informatiebehoefte_NL[Afgeleid van],ROW()-2)="","[Automatic]",INDEX(Informatiebehoefte_NL[Afgeleid van],ROW()-2)),"[Automatic]")</f>
        <v>[Automatic]</v>
      </c>
      <c r="M30" s="35"/>
    </row>
    <row r="31" spans="1:13" x14ac:dyDescent="0.25">
      <c r="A31" s="36" t="str" cm="1">
        <f t="array" ref="A31">IFERROR(IF(INDEX(Informatiebehoefte_NL[Key],ROW()-2)="","[Automatic]",INDEX(Informatiebehoefte_NL[Key],ROW()-2)),"[Automatic]")</f>
        <v>[Automatic]</v>
      </c>
      <c r="B31" s="36" t="str" cm="1">
        <f t="array" ref="B31">IFERROR(IF(INDEX(Informatiebehoefte_NL[EU of NL],ROW()-2)="","[Automatic]",INDEX(Informatiebehoefte_NL[EU of NL],ROW()-2)),"[Automatic]")</f>
        <v>[Automatic]</v>
      </c>
      <c r="C31" s="33"/>
      <c r="D31" s="34"/>
      <c r="E31" s="34"/>
      <c r="F31" s="34"/>
      <c r="G31" s="34"/>
      <c r="H31" s="34"/>
      <c r="I31" s="36" t="str" cm="1">
        <f t="array" ref="I31">IF(IFERROR(INDEX(Informatiebehoefte_NL[Bron(nen)],ROW()-2),"")="","[Automatic]",IFERROR(INDEX(Informatiebehoefte_NL[Bron(nen)],ROW()-2),""))</f>
        <v>[Automatic]</v>
      </c>
      <c r="J31" s="39" t="str">
        <f>_xlfn.IFNA(VLOOKUP(Informatiebehoefte_NL[[#This Row],[Mapbaar op basismodel]],'Drop down menu''s'!$A$3:$B$4,2,FALSE),"[Automatic]")</f>
        <v>[Automatic]</v>
      </c>
      <c r="K31" s="39" t="str">
        <f>_xlfn.IFNA(VLOOKUP(Informatiebehoefte_NL[[#This Row],[Opgenomen of niet-opgenomen]],'Drop down menu''s'!$A$10:$B$11,2,FALSE),"[Automatic]")</f>
        <v>[Automatic]</v>
      </c>
      <c r="L31" s="37" t="str" cm="1">
        <f t="array" ref="L31">IFERROR(IF(INDEX(Informatiebehoefte_NL[Afgeleid van],ROW()-2)="","[Automatic]",INDEX(Informatiebehoefte_NL[Afgeleid van],ROW()-2)),"[Automatic]")</f>
        <v>[Automatic]</v>
      </c>
      <c r="M31" s="35"/>
    </row>
    <row r="32" spans="1:13" x14ac:dyDescent="0.25">
      <c r="A32" s="36" t="str" cm="1">
        <f t="array" ref="A32">IFERROR(IF(INDEX(Informatiebehoefte_NL[Key],ROW()-2)="","[Automatic]",INDEX(Informatiebehoefte_NL[Key],ROW()-2)),"[Automatic]")</f>
        <v>[Automatic]</v>
      </c>
      <c r="B32" s="36" t="str" cm="1">
        <f t="array" ref="B32">IFERROR(IF(INDEX(Informatiebehoefte_NL[EU of NL],ROW()-2)="","[Automatic]",INDEX(Informatiebehoefte_NL[EU of NL],ROW()-2)),"[Automatic]")</f>
        <v>[Automatic]</v>
      </c>
      <c r="C32" s="33"/>
      <c r="D32" s="34"/>
      <c r="E32" s="34"/>
      <c r="F32" s="34"/>
      <c r="G32" s="34"/>
      <c r="H32" s="34"/>
      <c r="I32" s="36" t="str" cm="1">
        <f t="array" ref="I32">IF(IFERROR(INDEX(Informatiebehoefte_NL[Bron(nen)],ROW()-2),"")="","[Automatic]",IFERROR(INDEX(Informatiebehoefte_NL[Bron(nen)],ROW()-2),""))</f>
        <v>[Automatic]</v>
      </c>
      <c r="J32" s="39" t="str">
        <f>_xlfn.IFNA(VLOOKUP(Informatiebehoefte_NL[[#This Row],[Mapbaar op basismodel]],'Drop down menu''s'!$A$3:$B$4,2,FALSE),"[Automatic]")</f>
        <v>[Automatic]</v>
      </c>
      <c r="K32" s="39" t="str">
        <f>_xlfn.IFNA(VLOOKUP(Informatiebehoefte_NL[[#This Row],[Opgenomen of niet-opgenomen]],'Drop down menu''s'!$A$10:$B$11,2,FALSE),"[Automatic]")</f>
        <v>[Automatic]</v>
      </c>
      <c r="L32" s="37" t="str" cm="1">
        <f t="array" ref="L32">IFERROR(IF(INDEX(Informatiebehoefte_NL[Afgeleid van],ROW()-2)="","[Automatic]",INDEX(Informatiebehoefte_NL[Afgeleid van],ROW()-2)),"[Automatic]")</f>
        <v>[Automatic]</v>
      </c>
      <c r="M32" s="35"/>
    </row>
    <row r="33" spans="1:13" x14ac:dyDescent="0.25">
      <c r="A33" s="36" t="str" cm="1">
        <f t="array" ref="A33">IFERROR(IF(INDEX(Informatiebehoefte_NL[Key],ROW()-2)="","[Automatic]",INDEX(Informatiebehoefte_NL[Key],ROW()-2)),"[Automatic]")</f>
        <v>[Automatic]</v>
      </c>
      <c r="B33" s="36" t="str" cm="1">
        <f t="array" ref="B33">IFERROR(IF(INDEX(Informatiebehoefte_NL[EU of NL],ROW()-2)="","[Automatic]",INDEX(Informatiebehoefte_NL[EU of NL],ROW()-2)),"[Automatic]")</f>
        <v>[Automatic]</v>
      </c>
      <c r="C33" s="33"/>
      <c r="D33" s="34"/>
      <c r="E33" s="34"/>
      <c r="F33" s="34"/>
      <c r="G33" s="34"/>
      <c r="H33" s="34"/>
      <c r="I33" s="36" t="str" cm="1">
        <f t="array" ref="I33">IF(IFERROR(INDEX(Informatiebehoefte_NL[Bron(nen)],ROW()-2),"")="","[Automatic]",IFERROR(INDEX(Informatiebehoefte_NL[Bron(nen)],ROW()-2),""))</f>
        <v>[Automatic]</v>
      </c>
      <c r="J33" s="39" t="str">
        <f>_xlfn.IFNA(VLOOKUP(Informatiebehoefte_NL[[#This Row],[Mapbaar op basismodel]],'Drop down menu''s'!$A$3:$B$4,2,FALSE),"[Automatic]")</f>
        <v>[Automatic]</v>
      </c>
      <c r="K33" s="39" t="str">
        <f>_xlfn.IFNA(VLOOKUP(Informatiebehoefte_NL[[#This Row],[Opgenomen of niet-opgenomen]],'Drop down menu''s'!$A$10:$B$11,2,FALSE),"[Automatic]")</f>
        <v>[Automatic]</v>
      </c>
      <c r="L33" s="37" t="str" cm="1">
        <f t="array" ref="L33">IFERROR(IF(INDEX(Informatiebehoefte_NL[Afgeleid van],ROW()-2)="","[Automatic]",INDEX(Informatiebehoefte_NL[Afgeleid van],ROW()-2)),"[Automatic]")</f>
        <v>[Automatic]</v>
      </c>
      <c r="M33" s="35"/>
    </row>
    <row r="34" spans="1:13" x14ac:dyDescent="0.25">
      <c r="A34" s="36" t="str" cm="1">
        <f t="array" ref="A34">IFERROR(IF(INDEX(Informatiebehoefte_NL[Key],ROW()-2)="","[Automatic]",INDEX(Informatiebehoefte_NL[Key],ROW()-2)),"[Automatic]")</f>
        <v>[Automatic]</v>
      </c>
      <c r="B34" s="36" t="str" cm="1">
        <f t="array" ref="B34">IFERROR(IF(INDEX(Informatiebehoefte_NL[EU of NL],ROW()-2)="","[Automatic]",INDEX(Informatiebehoefte_NL[EU of NL],ROW()-2)),"[Automatic]")</f>
        <v>[Automatic]</v>
      </c>
      <c r="C34" s="33"/>
      <c r="D34" s="34"/>
      <c r="E34" s="34"/>
      <c r="F34" s="34"/>
      <c r="G34" s="34"/>
      <c r="H34" s="34"/>
      <c r="I34" s="36" t="str" cm="1">
        <f t="array" ref="I34">IF(IFERROR(INDEX(Informatiebehoefte_NL[Bron(nen)],ROW()-2),"")="","[Automatic]",IFERROR(INDEX(Informatiebehoefte_NL[Bron(nen)],ROW()-2),""))</f>
        <v>[Automatic]</v>
      </c>
      <c r="J34" s="39" t="str">
        <f>_xlfn.IFNA(VLOOKUP(Informatiebehoefte_NL[[#This Row],[Mapbaar op basismodel]],'Drop down menu''s'!$A$3:$B$4,2,FALSE),"[Automatic]")</f>
        <v>[Automatic]</v>
      </c>
      <c r="K34" s="39" t="str">
        <f>_xlfn.IFNA(VLOOKUP(Informatiebehoefte_NL[[#This Row],[Opgenomen of niet-opgenomen]],'Drop down menu''s'!$A$10:$B$11,2,FALSE),"[Automatic]")</f>
        <v>[Automatic]</v>
      </c>
      <c r="L34" s="37" t="str" cm="1">
        <f t="array" ref="L34">IFERROR(IF(INDEX(Informatiebehoefte_NL[Afgeleid van],ROW()-2)="","[Automatic]",INDEX(Informatiebehoefte_NL[Afgeleid van],ROW()-2)),"[Automatic]")</f>
        <v>[Automatic]</v>
      </c>
      <c r="M34" s="35"/>
    </row>
    <row r="35" spans="1:13" x14ac:dyDescent="0.25">
      <c r="A35" s="37" t="str" cm="1">
        <f t="array" ref="A35">IFERROR(IF(INDEX(Informatiebehoefte_NL[Key],ROW()-2)="","[Automatic]",INDEX(Informatiebehoefte_NL[Key],ROW()-2)),"[Automatic]")</f>
        <v>[Automatic]</v>
      </c>
      <c r="B35" s="36" t="str" cm="1">
        <f t="array" ref="B35">IFERROR(IF(INDEX(Informatiebehoefte_NL[EU of NL],ROW()-2)="","[Automatic]",INDEX(Informatiebehoefte_NL[EU of NL],ROW()-2)),"[Automatic]")</f>
        <v>[Automatic]</v>
      </c>
      <c r="C35" s="33"/>
      <c r="D35" s="34"/>
      <c r="E35" s="34"/>
      <c r="F35" s="34"/>
      <c r="G35" s="34"/>
      <c r="H35" s="34"/>
      <c r="I35" s="36" t="str" cm="1">
        <f t="array" ref="I35">IF(IFERROR(INDEX(Informatiebehoefte_NL[Bron(nen)],ROW()-2),"")="","[Automatic]",IFERROR(INDEX(Informatiebehoefte_NL[Bron(nen)],ROW()-2),""))</f>
        <v>[Automatic]</v>
      </c>
      <c r="J35" s="39" t="str">
        <f>_xlfn.IFNA(VLOOKUP(Informatiebehoefte_NL[[#This Row],[Mapbaar op basismodel]],'Drop down menu''s'!$A$3:$B$4,2,FALSE),"[Automatic]")</f>
        <v>[Automatic]</v>
      </c>
      <c r="K35" s="37" t="str">
        <f>_xlfn.IFNA(VLOOKUP(Informatiebehoefte_NL[[#This Row],[Opgenomen of niet-opgenomen]],'Drop down menu''s'!$A$10:$B$11,2,FALSE),"[Automatic]")</f>
        <v>[Automatic]</v>
      </c>
      <c r="L35" s="37" t="str" cm="1">
        <f t="array" ref="L35">IFERROR(IF(INDEX(Informatiebehoefte_NL[Afgeleid van],ROW()-2)="","[Automatic]",INDEX(Informatiebehoefte_NL[Afgeleid van],ROW()-2)),"[Automatic]")</f>
        <v>[Automatic]</v>
      </c>
      <c r="M35" s="35"/>
    </row>
    <row r="36" spans="1:13" x14ac:dyDescent="0.25">
      <c r="A36" s="37" t="str" cm="1">
        <f t="array" ref="A36">IFERROR(IF(INDEX(Informatiebehoefte_NL[Key],ROW()-2)="","[Automatic]",INDEX(Informatiebehoefte_NL[Key],ROW()-2)),"[Automatic]")</f>
        <v>[Automatic]</v>
      </c>
      <c r="B36" s="36" t="str" cm="1">
        <f t="array" ref="B36">IFERROR(IF(INDEX(Informatiebehoefte_NL[EU of NL],ROW()-2)="","[Automatic]",INDEX(Informatiebehoefte_NL[EU of NL],ROW()-2)),"[Automatic]")</f>
        <v>[Automatic]</v>
      </c>
      <c r="C36" s="33"/>
      <c r="D36" s="34"/>
      <c r="E36" s="34"/>
      <c r="F36" s="34"/>
      <c r="G36" s="34"/>
      <c r="H36" s="34"/>
      <c r="I36" s="36" t="str" cm="1">
        <f t="array" ref="I36">IF(IFERROR(INDEX(Informatiebehoefte_NL[Bron(nen)],ROW()-2),"")="","[Automatic]",IFERROR(INDEX(Informatiebehoefte_NL[Bron(nen)],ROW()-2),""))</f>
        <v>[Automatic]</v>
      </c>
      <c r="J36" s="39" t="str">
        <f>_xlfn.IFNA(VLOOKUP(Informatiebehoefte_NL[[#This Row],[Mapbaar op basismodel]],'Drop down menu''s'!$A$3:$B$4,2,FALSE),"[Automatic]")</f>
        <v>[Automatic]</v>
      </c>
      <c r="K36" s="37" t="str">
        <f>_xlfn.IFNA(VLOOKUP(Informatiebehoefte_NL[[#This Row],[Opgenomen of niet-opgenomen]],'Drop down menu''s'!$A$10:$B$11,2,FALSE),"[Automatic]")</f>
        <v>[Automatic]</v>
      </c>
      <c r="L36" s="37" t="str" cm="1">
        <f t="array" ref="L36">IFERROR(IF(INDEX(Informatiebehoefte_NL[Afgeleid van],ROW()-2)="","[Automatic]",INDEX(Informatiebehoefte_NL[Afgeleid van],ROW()-2)),"[Automatic]")</f>
        <v>[Automatic]</v>
      </c>
      <c r="M36" s="35"/>
    </row>
    <row r="37" spans="1:13" x14ac:dyDescent="0.25">
      <c r="A37" s="37" t="str" cm="1">
        <f t="array" ref="A37">IFERROR(IF(INDEX(Informatiebehoefte_NL[Key],ROW()-2)="","[Automatic]",INDEX(Informatiebehoefte_NL[Key],ROW()-2)),"[Automatic]")</f>
        <v>[Automatic]</v>
      </c>
      <c r="B37" s="36" t="str" cm="1">
        <f t="array" ref="B37">IFERROR(IF(INDEX(Informatiebehoefte_NL[EU of NL],ROW()-2)="","[Automatic]",INDEX(Informatiebehoefte_NL[EU of NL],ROW()-2)),"[Automatic]")</f>
        <v>[Automatic]</v>
      </c>
      <c r="C37" s="33"/>
      <c r="D37" s="34"/>
      <c r="E37" s="34"/>
      <c r="F37" s="34"/>
      <c r="G37" s="34"/>
      <c r="H37" s="34"/>
      <c r="I37" s="36" t="str" cm="1">
        <f t="array" ref="I37">IF(IFERROR(INDEX(Informatiebehoefte_NL[Bron(nen)],ROW()-2),"")="","[Automatic]",IFERROR(INDEX(Informatiebehoefte_NL[Bron(nen)],ROW()-2),""))</f>
        <v>[Automatic]</v>
      </c>
      <c r="J37" s="39" t="e">
        <f>_xlfn.IFNA(VLOOKUP(Informatiebehoefte_NL[[#This Row],[Mapbaar op basismodel]],'Drop down menu''s'!$A$3:$B$4,2,FALSE),"[Automatic]")</f>
        <v>#VALUE!</v>
      </c>
      <c r="K37" s="37" t="e">
        <f>_xlfn.IFNA(VLOOKUP(Informatiebehoefte_NL[[#This Row],[Opgenomen of niet-opgenomen]],'Drop down menu''s'!$A$10:$B$11,2,FALSE),"[Automatic]")</f>
        <v>#VALUE!</v>
      </c>
      <c r="L37" s="37" t="str" cm="1">
        <f t="array" ref="L37">IFERROR(IF(INDEX(Informatiebehoefte_NL[Afgeleid van],ROW()-2)="","[Automatic]",INDEX(Informatiebehoefte_NL[Afgeleid van],ROW()-2)),"[Automatic]")</f>
        <v>[Automatic]</v>
      </c>
      <c r="M37" s="35"/>
    </row>
    <row r="38" spans="1:13" x14ac:dyDescent="0.25">
      <c r="A38" s="62"/>
      <c r="B38" s="62"/>
      <c r="C38" s="62"/>
      <c r="D38" s="62"/>
      <c r="E38" s="62"/>
      <c r="F38" s="62"/>
      <c r="G38" s="62"/>
      <c r="H38" s="62"/>
      <c r="I38" s="62"/>
      <c r="J38" s="62"/>
      <c r="K38" s="61"/>
      <c r="L38" s="61"/>
      <c r="M38" s="62"/>
    </row>
    <row r="39" spans="1:13" x14ac:dyDescent="0.25">
      <c r="A39" s="62"/>
      <c r="B39" s="62"/>
      <c r="C39" s="62"/>
      <c r="D39" s="62"/>
      <c r="E39" s="62"/>
      <c r="F39" s="62"/>
      <c r="G39" s="62"/>
      <c r="H39" s="62"/>
      <c r="I39" s="62"/>
      <c r="J39" s="62"/>
      <c r="K39" s="61"/>
      <c r="L39" s="61"/>
      <c r="M39" s="62"/>
    </row>
    <row r="40" spans="1:13" x14ac:dyDescent="0.25">
      <c r="A40" s="62"/>
      <c r="B40" s="62"/>
      <c r="C40" s="62"/>
      <c r="D40" s="62"/>
      <c r="E40" s="62"/>
      <c r="F40" s="62"/>
      <c r="G40" s="62"/>
      <c r="H40" s="62"/>
      <c r="I40" s="62"/>
      <c r="J40" s="62"/>
      <c r="K40" s="61"/>
      <c r="L40" s="61"/>
      <c r="M40" s="62"/>
    </row>
    <row r="41" spans="1:13" x14ac:dyDescent="0.25">
      <c r="A41" s="62"/>
      <c r="B41" s="62"/>
      <c r="C41" s="62"/>
      <c r="D41" s="62"/>
      <c r="E41" s="62"/>
      <c r="F41" s="62"/>
      <c r="G41" s="62"/>
      <c r="H41" s="62"/>
      <c r="I41" s="62"/>
      <c r="J41" s="62"/>
      <c r="K41" s="61"/>
      <c r="L41" s="61"/>
      <c r="M41" s="62"/>
    </row>
    <row r="42" spans="1:13" x14ac:dyDescent="0.25">
      <c r="A42" s="62"/>
      <c r="B42" s="62"/>
      <c r="C42" s="62"/>
      <c r="D42" s="62"/>
      <c r="E42" s="62"/>
      <c r="F42" s="62"/>
      <c r="G42" s="62"/>
      <c r="H42" s="62"/>
      <c r="I42" s="62"/>
      <c r="J42" s="62"/>
      <c r="K42" s="61"/>
      <c r="L42" s="61"/>
      <c r="M42" s="62"/>
    </row>
    <row r="43" spans="1:13" x14ac:dyDescent="0.25">
      <c r="A43" s="62"/>
      <c r="B43" s="62"/>
      <c r="C43" s="62"/>
      <c r="D43" s="62"/>
      <c r="E43" s="62"/>
      <c r="F43" s="62"/>
      <c r="G43" s="62"/>
      <c r="H43" s="62"/>
      <c r="I43" s="62"/>
      <c r="J43" s="62"/>
      <c r="K43" s="61"/>
      <c r="L43" s="61"/>
      <c r="M43" s="62"/>
    </row>
    <row r="44" spans="1:13" x14ac:dyDescent="0.25">
      <c r="A44" s="62"/>
      <c r="B44" s="62"/>
      <c r="C44" s="62"/>
      <c r="D44" s="62"/>
      <c r="E44" s="62"/>
      <c r="F44" s="62"/>
      <c r="G44" s="62"/>
      <c r="H44" s="62"/>
      <c r="I44" s="62"/>
      <c r="J44" s="62"/>
      <c r="K44" s="61"/>
      <c r="L44" s="61"/>
      <c r="M44" s="62"/>
    </row>
    <row r="45" spans="1:13" x14ac:dyDescent="0.25">
      <c r="A45" s="62"/>
      <c r="B45" s="62"/>
      <c r="C45" s="62"/>
      <c r="D45" s="62"/>
      <c r="E45" s="62"/>
      <c r="F45" s="62"/>
      <c r="G45" s="62"/>
      <c r="H45" s="62"/>
      <c r="I45" s="62"/>
      <c r="J45" s="62"/>
      <c r="K45" s="61"/>
      <c r="L45" s="61"/>
      <c r="M45" s="62"/>
    </row>
    <row r="46" spans="1:13" x14ac:dyDescent="0.25">
      <c r="A46" s="62"/>
      <c r="B46" s="62"/>
      <c r="C46" s="62"/>
      <c r="D46" s="62"/>
      <c r="E46" s="62"/>
      <c r="F46" s="62"/>
      <c r="G46" s="62"/>
      <c r="H46" s="62"/>
      <c r="I46" s="62"/>
      <c r="J46" s="62"/>
      <c r="K46" s="61"/>
      <c r="L46" s="61"/>
      <c r="M46" s="62"/>
    </row>
    <row r="47" spans="1:13" x14ac:dyDescent="0.25">
      <c r="A47" s="62"/>
      <c r="B47" s="62"/>
      <c r="C47" s="62"/>
      <c r="D47" s="62"/>
      <c r="E47" s="62"/>
      <c r="F47" s="62"/>
      <c r="G47" s="62"/>
      <c r="H47" s="62"/>
      <c r="I47" s="62"/>
      <c r="J47" s="62"/>
      <c r="K47" s="61"/>
      <c r="L47" s="61"/>
      <c r="M47" s="62"/>
    </row>
    <row r="48" spans="1:13" x14ac:dyDescent="0.25">
      <c r="A48" s="62"/>
      <c r="B48" s="62"/>
      <c r="C48" s="62"/>
      <c r="D48" s="62"/>
      <c r="E48" s="62"/>
      <c r="F48" s="62"/>
      <c r="G48" s="62"/>
      <c r="H48" s="62"/>
      <c r="I48" s="62"/>
      <c r="J48" s="62"/>
      <c r="K48" s="61"/>
      <c r="L48" s="61"/>
      <c r="M48" s="62"/>
    </row>
    <row r="49" spans="1:13" x14ac:dyDescent="0.25">
      <c r="A49" s="62"/>
      <c r="B49" s="62"/>
      <c r="C49" s="62"/>
      <c r="D49" s="62"/>
      <c r="E49" s="62"/>
      <c r="F49" s="62"/>
      <c r="G49" s="62"/>
      <c r="H49" s="62"/>
      <c r="I49" s="62"/>
      <c r="J49" s="62"/>
      <c r="K49" s="61"/>
      <c r="L49" s="61"/>
      <c r="M49" s="62"/>
    </row>
    <row r="50" spans="1:13" x14ac:dyDescent="0.25">
      <c r="A50" s="62"/>
      <c r="B50" s="62"/>
      <c r="C50" s="62"/>
      <c r="D50" s="62"/>
      <c r="E50" s="62"/>
      <c r="F50" s="62"/>
      <c r="G50" s="62"/>
      <c r="H50" s="62"/>
      <c r="I50" s="62"/>
      <c r="J50" s="62"/>
      <c r="K50" s="61"/>
      <c r="L50" s="61"/>
      <c r="M50" s="62"/>
    </row>
    <row r="51" spans="1:13" x14ac:dyDescent="0.25">
      <c r="A51" s="62"/>
      <c r="B51" s="62"/>
      <c r="C51" s="62"/>
      <c r="D51" s="62"/>
      <c r="E51" s="62"/>
      <c r="F51" s="62"/>
      <c r="G51" s="62"/>
      <c r="H51" s="62"/>
      <c r="I51" s="62"/>
      <c r="J51" s="62"/>
      <c r="K51" s="61"/>
      <c r="L51" s="61"/>
      <c r="M51" s="62"/>
    </row>
    <row r="52" spans="1:13" x14ac:dyDescent="0.25">
      <c r="A52" s="62"/>
      <c r="B52" s="62"/>
      <c r="C52" s="62"/>
      <c r="D52" s="62"/>
      <c r="E52" s="62"/>
      <c r="F52" s="62"/>
      <c r="G52" s="62"/>
      <c r="H52" s="62"/>
      <c r="I52" s="62"/>
      <c r="J52" s="62"/>
      <c r="K52" s="61"/>
      <c r="L52" s="61"/>
      <c r="M52" s="62"/>
    </row>
    <row r="53" spans="1:13" x14ac:dyDescent="0.25">
      <c r="A53" s="62"/>
      <c r="B53" s="62"/>
      <c r="C53" s="62"/>
      <c r="D53" s="62"/>
      <c r="E53" s="62"/>
      <c r="F53" s="62"/>
      <c r="G53" s="62"/>
      <c r="H53" s="62"/>
      <c r="I53" s="62"/>
      <c r="J53" s="62"/>
      <c r="K53" s="61"/>
      <c r="L53" s="61"/>
      <c r="M53" s="62"/>
    </row>
    <row r="54" spans="1:13" x14ac:dyDescent="0.25">
      <c r="A54" s="62"/>
      <c r="B54" s="62"/>
      <c r="C54" s="62"/>
      <c r="D54" s="62"/>
      <c r="E54" s="62"/>
      <c r="F54" s="62"/>
      <c r="G54" s="62"/>
      <c r="H54" s="62"/>
      <c r="I54" s="62"/>
      <c r="J54" s="62"/>
      <c r="K54" s="61"/>
      <c r="L54" s="61"/>
      <c r="M54" s="62"/>
    </row>
    <row r="55" spans="1:13" x14ac:dyDescent="0.25">
      <c r="A55" s="62"/>
      <c r="B55" s="62"/>
      <c r="C55" s="62"/>
      <c r="D55" s="62"/>
      <c r="E55" s="62"/>
      <c r="F55" s="62"/>
      <c r="G55" s="62"/>
      <c r="H55" s="62"/>
      <c r="I55" s="62"/>
      <c r="J55" s="62"/>
      <c r="K55" s="61"/>
      <c r="L55" s="61"/>
      <c r="M55" s="62"/>
    </row>
    <row r="56" spans="1:13" x14ac:dyDescent="0.25">
      <c r="A56" s="62"/>
      <c r="B56" s="62"/>
      <c r="C56" s="62"/>
      <c r="D56" s="62"/>
      <c r="E56" s="62"/>
      <c r="F56" s="62"/>
      <c r="G56" s="62"/>
      <c r="H56" s="62"/>
      <c r="I56" s="62"/>
      <c r="J56" s="62"/>
      <c r="K56" s="61"/>
      <c r="L56" s="61"/>
      <c r="M56" s="62"/>
    </row>
    <row r="57" spans="1:13" x14ac:dyDescent="0.25">
      <c r="A57" s="62"/>
      <c r="B57" s="62"/>
      <c r="C57" s="62"/>
      <c r="D57" s="62"/>
      <c r="E57" s="62"/>
      <c r="F57" s="62"/>
      <c r="G57" s="62"/>
      <c r="H57" s="62"/>
      <c r="I57" s="62"/>
      <c r="J57" s="62"/>
      <c r="K57" s="61"/>
      <c r="L57" s="61"/>
      <c r="M57" s="62"/>
    </row>
    <row r="58" spans="1:13" x14ac:dyDescent="0.25">
      <c r="A58" s="62"/>
      <c r="B58" s="62"/>
      <c r="C58" s="62"/>
      <c r="D58" s="62"/>
      <c r="E58" s="62"/>
      <c r="F58" s="62"/>
      <c r="G58" s="62"/>
      <c r="H58" s="62"/>
      <c r="I58" s="62"/>
      <c r="J58" s="62"/>
      <c r="K58" s="61"/>
      <c r="L58" s="61"/>
      <c r="M58" s="62"/>
    </row>
    <row r="59" spans="1:13" x14ac:dyDescent="0.25">
      <c r="A59" s="62"/>
      <c r="B59" s="62"/>
      <c r="C59" s="62"/>
      <c r="D59" s="62"/>
      <c r="E59" s="62"/>
      <c r="F59" s="62"/>
      <c r="G59" s="62"/>
      <c r="H59" s="62"/>
      <c r="I59" s="62"/>
      <c r="J59" s="62"/>
      <c r="K59" s="61"/>
      <c r="L59" s="61"/>
      <c r="M59" s="62"/>
    </row>
    <row r="60" spans="1:13" x14ac:dyDescent="0.25">
      <c r="A60" s="62"/>
      <c r="B60" s="62"/>
      <c r="C60" s="62"/>
      <c r="D60" s="62"/>
      <c r="E60" s="62"/>
      <c r="F60" s="62"/>
      <c r="G60" s="62"/>
      <c r="H60" s="62"/>
      <c r="I60" s="62"/>
      <c r="J60" s="62"/>
      <c r="K60" s="61"/>
      <c r="L60" s="61"/>
      <c r="M60" s="62"/>
    </row>
    <row r="61" spans="1:13" x14ac:dyDescent="0.25">
      <c r="A61" s="62"/>
      <c r="B61" s="62"/>
      <c r="C61" s="62"/>
      <c r="D61" s="62"/>
      <c r="E61" s="62"/>
      <c r="F61" s="62"/>
      <c r="G61" s="62"/>
      <c r="H61" s="62"/>
      <c r="I61" s="62"/>
      <c r="J61" s="62"/>
      <c r="K61" s="61"/>
      <c r="L61" s="61"/>
      <c r="M61" s="62"/>
    </row>
    <row r="62" spans="1:13" x14ac:dyDescent="0.25">
      <c r="A62" s="62"/>
      <c r="B62" s="62"/>
      <c r="C62" s="62"/>
      <c r="D62" s="62"/>
      <c r="E62" s="62"/>
      <c r="F62" s="62"/>
      <c r="G62" s="62"/>
      <c r="H62" s="62"/>
      <c r="I62" s="62"/>
      <c r="J62" s="62"/>
      <c r="K62" s="61"/>
      <c r="L62" s="61"/>
      <c r="M62" s="62"/>
    </row>
    <row r="63" spans="1:13" x14ac:dyDescent="0.25">
      <c r="A63" s="62"/>
      <c r="B63" s="62"/>
      <c r="C63" s="62"/>
      <c r="D63" s="62"/>
      <c r="E63" s="62"/>
      <c r="F63" s="62"/>
      <c r="G63" s="62"/>
      <c r="H63" s="62"/>
      <c r="I63" s="62"/>
      <c r="J63" s="62"/>
      <c r="K63" s="61"/>
      <c r="L63" s="61"/>
      <c r="M63" s="62"/>
    </row>
    <row r="64" spans="1:13" x14ac:dyDescent="0.25">
      <c r="A64" s="62"/>
      <c r="B64" s="62"/>
      <c r="C64" s="62"/>
      <c r="D64" s="62"/>
      <c r="E64" s="62"/>
      <c r="F64" s="62"/>
      <c r="G64" s="62"/>
      <c r="H64" s="62"/>
      <c r="I64" s="62"/>
      <c r="J64" s="62"/>
      <c r="K64" s="61"/>
      <c r="L64" s="61"/>
      <c r="M64" s="62"/>
    </row>
    <row r="65" spans="1:13" x14ac:dyDescent="0.25">
      <c r="A65" s="62"/>
      <c r="B65" s="62"/>
      <c r="C65" s="62"/>
      <c r="D65" s="62"/>
      <c r="E65" s="62"/>
      <c r="F65" s="62"/>
      <c r="G65" s="62"/>
      <c r="H65" s="62"/>
      <c r="I65" s="62"/>
      <c r="J65" s="62"/>
      <c r="K65" s="61"/>
      <c r="L65" s="61"/>
      <c r="M65" s="62"/>
    </row>
    <row r="66" spans="1:13" x14ac:dyDescent="0.25">
      <c r="A66" s="62"/>
      <c r="B66" s="62"/>
      <c r="C66" s="62"/>
      <c r="D66" s="62"/>
      <c r="E66" s="62"/>
      <c r="F66" s="62"/>
      <c r="G66" s="62"/>
      <c r="H66" s="62"/>
      <c r="I66" s="62"/>
      <c r="J66" s="62"/>
      <c r="K66" s="61"/>
      <c r="L66" s="61"/>
      <c r="M66" s="62"/>
    </row>
    <row r="67" spans="1:13" x14ac:dyDescent="0.25">
      <c r="A67" s="62"/>
      <c r="B67" s="62"/>
      <c r="C67" s="62"/>
      <c r="D67" s="62"/>
      <c r="E67" s="62"/>
      <c r="F67" s="62"/>
      <c r="G67" s="62"/>
      <c r="H67" s="62"/>
      <c r="I67" s="62"/>
      <c r="J67" s="62"/>
      <c r="K67" s="61"/>
      <c r="L67" s="61"/>
      <c r="M67" s="62"/>
    </row>
    <row r="68" spans="1:13" x14ac:dyDescent="0.25">
      <c r="A68" s="62"/>
      <c r="B68" s="62"/>
      <c r="C68" s="62"/>
      <c r="D68" s="62"/>
      <c r="E68" s="62"/>
      <c r="F68" s="62"/>
      <c r="G68" s="62"/>
      <c r="H68" s="62"/>
      <c r="I68" s="62"/>
      <c r="J68" s="62"/>
      <c r="K68" s="61"/>
      <c r="L68" s="61"/>
      <c r="M68" s="62"/>
    </row>
    <row r="69" spans="1:13" x14ac:dyDescent="0.25">
      <c r="A69" s="62"/>
      <c r="B69" s="62"/>
      <c r="C69" s="62"/>
      <c r="D69" s="62"/>
      <c r="E69" s="62"/>
      <c r="F69" s="62"/>
      <c r="G69" s="62"/>
      <c r="H69" s="62"/>
      <c r="I69" s="62"/>
      <c r="J69" s="62"/>
      <c r="K69" s="61"/>
      <c r="L69" s="61"/>
      <c r="M69" s="62"/>
    </row>
    <row r="70" spans="1:13" x14ac:dyDescent="0.25">
      <c r="A70" s="62"/>
      <c r="B70" s="62"/>
      <c r="C70" s="62"/>
      <c r="D70" s="62"/>
      <c r="E70" s="62"/>
      <c r="F70" s="62"/>
      <c r="G70" s="62"/>
      <c r="H70" s="62"/>
      <c r="I70" s="62"/>
      <c r="J70" s="62"/>
      <c r="K70" s="61"/>
      <c r="L70" s="61"/>
      <c r="M70" s="62"/>
    </row>
    <row r="71" spans="1:13" x14ac:dyDescent="0.25">
      <c r="A71" s="62"/>
      <c r="B71" s="62"/>
      <c r="C71" s="62"/>
      <c r="D71" s="62"/>
      <c r="E71" s="62"/>
      <c r="F71" s="62"/>
      <c r="G71" s="62"/>
      <c r="H71" s="62"/>
      <c r="I71" s="62"/>
      <c r="J71" s="62"/>
      <c r="K71" s="61"/>
      <c r="L71" s="61"/>
      <c r="M71" s="62"/>
    </row>
    <row r="72" spans="1:13" x14ac:dyDescent="0.25">
      <c r="A72" s="62"/>
      <c r="B72" s="62"/>
      <c r="C72" s="62"/>
      <c r="D72" s="62"/>
      <c r="E72" s="62"/>
      <c r="F72" s="62"/>
      <c r="G72" s="62"/>
      <c r="H72" s="62"/>
      <c r="I72" s="62"/>
      <c r="J72" s="62"/>
      <c r="K72" s="61"/>
      <c r="L72" s="61"/>
      <c r="M72" s="62"/>
    </row>
    <row r="73" spans="1:13" x14ac:dyDescent="0.25">
      <c r="A73" s="62"/>
      <c r="B73" s="62"/>
      <c r="C73" s="62"/>
      <c r="D73" s="62"/>
      <c r="E73" s="62"/>
      <c r="F73" s="62"/>
      <c r="G73" s="62"/>
      <c r="H73" s="62"/>
      <c r="I73" s="62"/>
      <c r="J73" s="62"/>
      <c r="K73" s="61"/>
      <c r="L73" s="61"/>
      <c r="M73" s="62"/>
    </row>
    <row r="74" spans="1:13" x14ac:dyDescent="0.25">
      <c r="A74" s="62"/>
      <c r="B74" s="62"/>
      <c r="C74" s="62"/>
      <c r="D74" s="62"/>
      <c r="E74" s="62"/>
      <c r="F74" s="62"/>
      <c r="G74" s="62"/>
      <c r="H74" s="62"/>
      <c r="I74" s="62"/>
      <c r="J74" s="62"/>
      <c r="K74" s="61"/>
      <c r="L74" s="61"/>
      <c r="M74" s="62"/>
    </row>
    <row r="75" spans="1:13" x14ac:dyDescent="0.25">
      <c r="A75" s="62"/>
      <c r="B75" s="62"/>
      <c r="C75" s="62"/>
      <c r="D75" s="62"/>
      <c r="E75" s="62"/>
      <c r="F75" s="62"/>
      <c r="G75" s="62"/>
      <c r="H75" s="62"/>
      <c r="I75" s="62"/>
      <c r="J75" s="62"/>
      <c r="K75" s="61"/>
      <c r="L75" s="61"/>
      <c r="M75" s="62"/>
    </row>
    <row r="76" spans="1:13" x14ac:dyDescent="0.25">
      <c r="A76" s="62"/>
      <c r="B76" s="62"/>
      <c r="C76" s="62"/>
      <c r="D76" s="62"/>
      <c r="E76" s="62"/>
      <c r="F76" s="62"/>
      <c r="G76" s="62"/>
      <c r="H76" s="62"/>
      <c r="I76" s="62"/>
      <c r="J76" s="62"/>
      <c r="K76" s="61"/>
      <c r="L76" s="61"/>
      <c r="M76" s="62"/>
    </row>
    <row r="77" spans="1:13" x14ac:dyDescent="0.25">
      <c r="A77" s="62"/>
      <c r="B77" s="62"/>
      <c r="C77" s="62"/>
      <c r="D77" s="62"/>
      <c r="E77" s="62"/>
      <c r="F77" s="62"/>
      <c r="G77" s="62"/>
      <c r="H77" s="62"/>
      <c r="I77" s="62"/>
      <c r="J77" s="62"/>
      <c r="K77" s="61"/>
      <c r="L77" s="61"/>
      <c r="M77" s="62"/>
    </row>
    <row r="78" spans="1:13" x14ac:dyDescent="0.25">
      <c r="A78" s="62"/>
      <c r="B78" s="62"/>
      <c r="C78" s="62"/>
      <c r="D78" s="62"/>
      <c r="E78" s="62"/>
      <c r="F78" s="62"/>
      <c r="G78" s="62"/>
      <c r="H78" s="62"/>
      <c r="I78" s="62"/>
      <c r="J78" s="62"/>
      <c r="K78" s="61"/>
      <c r="L78" s="61"/>
      <c r="M78" s="62"/>
    </row>
    <row r="79" spans="1:13" x14ac:dyDescent="0.25">
      <c r="A79" s="62"/>
      <c r="B79" s="62"/>
      <c r="C79" s="62"/>
      <c r="D79" s="62"/>
      <c r="E79" s="62"/>
      <c r="F79" s="62"/>
      <c r="G79" s="62"/>
      <c r="H79" s="62"/>
      <c r="I79" s="62"/>
      <c r="J79" s="62"/>
      <c r="K79" s="61"/>
      <c r="L79" s="61"/>
      <c r="M79" s="62"/>
    </row>
    <row r="80" spans="1:13" x14ac:dyDescent="0.25">
      <c r="A80" s="62"/>
      <c r="B80" s="62"/>
      <c r="C80" s="62"/>
      <c r="D80" s="62"/>
      <c r="E80" s="62"/>
      <c r="F80" s="62"/>
      <c r="G80" s="62"/>
      <c r="H80" s="62"/>
      <c r="I80" s="62"/>
      <c r="J80" s="62"/>
      <c r="K80" s="61"/>
      <c r="L80" s="61"/>
      <c r="M80" s="62"/>
    </row>
    <row r="81" spans="1:13" x14ac:dyDescent="0.25">
      <c r="A81" s="62"/>
      <c r="B81" s="62"/>
      <c r="C81" s="62"/>
      <c r="D81" s="62"/>
      <c r="E81" s="62"/>
      <c r="F81" s="62"/>
      <c r="G81" s="62"/>
      <c r="H81" s="62"/>
      <c r="I81" s="62"/>
      <c r="J81" s="62"/>
      <c r="K81" s="61"/>
      <c r="L81" s="61"/>
      <c r="M81" s="62"/>
    </row>
    <row r="82" spans="1:13" x14ac:dyDescent="0.25">
      <c r="A82" s="62"/>
      <c r="B82" s="62"/>
      <c r="C82" s="62"/>
      <c r="D82" s="62"/>
      <c r="E82" s="62"/>
      <c r="F82" s="62"/>
      <c r="G82" s="62"/>
      <c r="H82" s="62"/>
      <c r="I82" s="62"/>
      <c r="J82" s="62"/>
      <c r="K82" s="61"/>
      <c r="L82" s="61"/>
      <c r="M82" s="62"/>
    </row>
    <row r="83" spans="1:13" x14ac:dyDescent="0.25">
      <c r="A83" s="62"/>
      <c r="B83" s="62"/>
      <c r="C83" s="62"/>
      <c r="D83" s="62"/>
      <c r="E83" s="62"/>
      <c r="F83" s="62"/>
      <c r="G83" s="62"/>
      <c r="H83" s="62"/>
      <c r="I83" s="62"/>
      <c r="J83" s="62"/>
      <c r="K83" s="61"/>
      <c r="L83" s="61"/>
      <c r="M83" s="62"/>
    </row>
    <row r="84" spans="1:13" x14ac:dyDescent="0.25">
      <c r="A84" s="62"/>
      <c r="B84" s="62"/>
      <c r="C84" s="62"/>
      <c r="D84" s="62"/>
      <c r="E84" s="62"/>
      <c r="F84" s="62"/>
      <c r="G84" s="62"/>
      <c r="H84" s="62"/>
      <c r="I84" s="62"/>
      <c r="J84" s="62"/>
      <c r="K84" s="61"/>
      <c r="L84" s="61"/>
      <c r="M84" s="62"/>
    </row>
    <row r="85" spans="1:13" x14ac:dyDescent="0.25">
      <c r="A85" s="62"/>
      <c r="B85" s="62"/>
      <c r="C85" s="62"/>
      <c r="D85" s="62"/>
      <c r="E85" s="62"/>
      <c r="F85" s="62"/>
      <c r="G85" s="62"/>
      <c r="H85" s="62"/>
      <c r="I85" s="62"/>
      <c r="J85" s="62"/>
      <c r="K85" s="61"/>
      <c r="L85" s="61"/>
      <c r="M85" s="62"/>
    </row>
    <row r="86" spans="1:13" x14ac:dyDescent="0.25">
      <c r="A86" s="62"/>
      <c r="B86" s="62"/>
      <c r="C86" s="62"/>
      <c r="D86" s="62"/>
      <c r="E86" s="62"/>
      <c r="F86" s="62"/>
      <c r="G86" s="62"/>
      <c r="H86" s="62"/>
      <c r="I86" s="62"/>
      <c r="J86" s="62"/>
      <c r="K86" s="61"/>
      <c r="L86" s="61"/>
      <c r="M86" s="62"/>
    </row>
    <row r="87" spans="1:13" x14ac:dyDescent="0.25">
      <c r="A87" s="62"/>
      <c r="B87" s="62"/>
      <c r="C87" s="62"/>
      <c r="D87" s="62"/>
      <c r="E87" s="62"/>
      <c r="F87" s="62"/>
      <c r="G87" s="62"/>
      <c r="H87" s="62"/>
      <c r="I87" s="62"/>
      <c r="J87" s="62"/>
      <c r="K87" s="61"/>
      <c r="L87" s="61"/>
      <c r="M87" s="62"/>
    </row>
    <row r="88" spans="1:13" x14ac:dyDescent="0.25">
      <c r="A88" s="62"/>
      <c r="B88" s="62"/>
      <c r="C88" s="62"/>
      <c r="D88" s="62"/>
      <c r="E88" s="62"/>
      <c r="F88" s="62"/>
      <c r="G88" s="62"/>
      <c r="H88" s="62"/>
      <c r="I88" s="62"/>
      <c r="J88" s="62"/>
      <c r="K88" s="61"/>
      <c r="L88" s="61"/>
      <c r="M88" s="62"/>
    </row>
    <row r="89" spans="1:13" x14ac:dyDescent="0.25">
      <c r="A89" s="62"/>
      <c r="B89" s="62"/>
      <c r="C89" s="62"/>
      <c r="D89" s="62"/>
      <c r="E89" s="62"/>
      <c r="F89" s="62"/>
      <c r="G89" s="62"/>
      <c r="H89" s="62"/>
      <c r="I89" s="62"/>
      <c r="J89" s="62"/>
      <c r="K89" s="61"/>
      <c r="L89" s="61"/>
      <c r="M89" s="62"/>
    </row>
    <row r="90" spans="1:13" x14ac:dyDescent="0.25">
      <c r="A90" s="62"/>
      <c r="B90" s="62"/>
      <c r="C90" s="62"/>
      <c r="D90" s="62"/>
      <c r="E90" s="62"/>
      <c r="F90" s="62"/>
      <c r="G90" s="62"/>
      <c r="H90" s="62"/>
      <c r="I90" s="62"/>
      <c r="J90" s="62"/>
      <c r="K90" s="61"/>
      <c r="L90" s="61"/>
      <c r="M90" s="62"/>
    </row>
    <row r="91" spans="1:13" x14ac:dyDescent="0.25">
      <c r="A91" s="62"/>
      <c r="B91" s="62"/>
      <c r="C91" s="62"/>
      <c r="D91" s="62"/>
      <c r="E91" s="62"/>
      <c r="F91" s="62"/>
      <c r="G91" s="62"/>
      <c r="H91" s="62"/>
      <c r="I91" s="62"/>
      <c r="J91" s="62"/>
      <c r="K91" s="61"/>
      <c r="L91" s="61"/>
      <c r="M91" s="62"/>
    </row>
    <row r="92" spans="1:13" x14ac:dyDescent="0.25">
      <c r="A92" s="62"/>
      <c r="B92" s="62"/>
      <c r="C92" s="62"/>
      <c r="D92" s="62"/>
      <c r="E92" s="62"/>
      <c r="F92" s="62"/>
      <c r="G92" s="62"/>
      <c r="H92" s="62"/>
      <c r="I92" s="62"/>
      <c r="J92" s="62"/>
      <c r="K92" s="61"/>
      <c r="L92" s="61"/>
      <c r="M92" s="62"/>
    </row>
    <row r="93" spans="1:13" x14ac:dyDescent="0.25">
      <c r="A93" s="62"/>
      <c r="B93" s="62"/>
      <c r="C93" s="62"/>
      <c r="D93" s="62"/>
      <c r="E93" s="62"/>
      <c r="F93" s="62"/>
      <c r="G93" s="62"/>
      <c r="H93" s="62"/>
      <c r="I93" s="62"/>
      <c r="J93" s="62"/>
      <c r="K93" s="61"/>
      <c r="L93" s="61"/>
      <c r="M93" s="62"/>
    </row>
    <row r="94" spans="1:13" x14ac:dyDescent="0.25">
      <c r="A94" s="62"/>
      <c r="B94" s="62"/>
      <c r="C94" s="62"/>
      <c r="D94" s="62"/>
      <c r="E94" s="62"/>
      <c r="F94" s="62"/>
      <c r="G94" s="62"/>
      <c r="H94" s="62"/>
      <c r="I94" s="62"/>
      <c r="J94" s="62"/>
      <c r="K94" s="61"/>
      <c r="L94" s="61"/>
      <c r="M94" s="62"/>
    </row>
    <row r="95" spans="1:13" x14ac:dyDescent="0.25">
      <c r="A95" s="62"/>
      <c r="B95" s="62"/>
      <c r="C95" s="62"/>
      <c r="D95" s="62"/>
      <c r="E95" s="62"/>
      <c r="F95" s="62"/>
      <c r="G95" s="62"/>
      <c r="H95" s="62"/>
      <c r="I95" s="62"/>
      <c r="J95" s="62"/>
      <c r="K95" s="61"/>
      <c r="L95" s="61"/>
      <c r="M95" s="62"/>
    </row>
    <row r="96" spans="1:13" x14ac:dyDescent="0.25">
      <c r="A96" s="62"/>
      <c r="B96" s="62"/>
      <c r="C96" s="62"/>
      <c r="D96" s="62"/>
      <c r="E96" s="62"/>
      <c r="F96" s="62"/>
      <c r="G96" s="62"/>
      <c r="H96" s="62"/>
      <c r="I96" s="62"/>
      <c r="J96" s="62"/>
      <c r="K96" s="61"/>
      <c r="L96" s="61"/>
      <c r="M96" s="62"/>
    </row>
    <row r="97" spans="1:13" x14ac:dyDescent="0.25">
      <c r="A97" s="62"/>
      <c r="B97" s="62"/>
      <c r="C97" s="62"/>
      <c r="D97" s="62"/>
      <c r="E97" s="62"/>
      <c r="F97" s="62"/>
      <c r="G97" s="62"/>
      <c r="H97" s="62"/>
      <c r="I97" s="62"/>
      <c r="J97" s="62"/>
      <c r="K97" s="61"/>
      <c r="L97" s="61"/>
      <c r="M97" s="62"/>
    </row>
    <row r="98" spans="1:13" x14ac:dyDescent="0.25">
      <c r="A98" s="62"/>
      <c r="B98" s="62"/>
      <c r="C98" s="62"/>
      <c r="D98" s="62"/>
      <c r="E98" s="62"/>
      <c r="F98" s="62"/>
      <c r="G98" s="62"/>
      <c r="H98" s="62"/>
      <c r="I98" s="62"/>
      <c r="J98" s="62"/>
      <c r="K98" s="61"/>
      <c r="L98" s="61"/>
      <c r="M98" s="62"/>
    </row>
    <row r="99" spans="1:13" x14ac:dyDescent="0.25">
      <c r="A99" s="62"/>
      <c r="B99" s="62"/>
      <c r="C99" s="62"/>
      <c r="D99" s="62"/>
      <c r="E99" s="62"/>
      <c r="F99" s="62"/>
      <c r="G99" s="62"/>
      <c r="H99" s="62"/>
      <c r="I99" s="62"/>
      <c r="J99" s="62"/>
      <c r="K99" s="61"/>
      <c r="L99" s="61"/>
      <c r="M99" s="62"/>
    </row>
    <row r="100" spans="1:13" x14ac:dyDescent="0.25">
      <c r="A100" s="62"/>
      <c r="B100" s="62"/>
      <c r="C100" s="62"/>
      <c r="D100" s="62"/>
      <c r="E100" s="62"/>
      <c r="F100" s="62"/>
      <c r="G100" s="62"/>
      <c r="H100" s="62"/>
      <c r="I100" s="62"/>
      <c r="J100" s="62"/>
      <c r="K100" s="61"/>
      <c r="L100" s="61"/>
      <c r="M100" s="62"/>
    </row>
    <row r="101" spans="1:13" x14ac:dyDescent="0.25">
      <c r="A101" s="62"/>
      <c r="B101" s="62"/>
      <c r="C101" s="62"/>
      <c r="D101" s="62"/>
      <c r="E101" s="62"/>
      <c r="F101" s="62"/>
      <c r="G101" s="62"/>
      <c r="H101" s="62"/>
      <c r="I101" s="62"/>
      <c r="J101" s="62"/>
      <c r="K101" s="61"/>
      <c r="L101" s="61"/>
      <c r="M101" s="62"/>
    </row>
    <row r="102" spans="1:13" x14ac:dyDescent="0.25">
      <c r="A102" s="62"/>
      <c r="B102" s="62"/>
      <c r="C102" s="62"/>
      <c r="D102" s="62"/>
      <c r="E102" s="62"/>
      <c r="F102" s="62"/>
      <c r="G102" s="62"/>
      <c r="H102" s="62"/>
      <c r="I102" s="62"/>
      <c r="J102" s="62"/>
      <c r="K102" s="61"/>
      <c r="L102" s="61"/>
      <c r="M102" s="62"/>
    </row>
    <row r="103" spans="1:13" x14ac:dyDescent="0.25">
      <c r="A103" s="62"/>
      <c r="B103" s="62"/>
      <c r="C103" s="62"/>
      <c r="D103" s="62"/>
      <c r="E103" s="62"/>
      <c r="F103" s="62"/>
      <c r="G103" s="62"/>
      <c r="H103" s="62"/>
      <c r="I103" s="62"/>
      <c r="J103" s="62"/>
      <c r="K103" s="61"/>
      <c r="L103" s="61"/>
      <c r="M103" s="62"/>
    </row>
    <row r="104" spans="1:13" x14ac:dyDescent="0.25">
      <c r="A104" s="62"/>
      <c r="B104" s="62"/>
      <c r="C104" s="62"/>
      <c r="D104" s="62"/>
      <c r="E104" s="62"/>
      <c r="F104" s="62"/>
      <c r="G104" s="62"/>
      <c r="H104" s="62"/>
      <c r="I104" s="62"/>
      <c r="J104" s="62"/>
      <c r="K104" s="61"/>
      <c r="L104" s="61"/>
      <c r="M104" s="62"/>
    </row>
    <row r="105" spans="1:13" x14ac:dyDescent="0.25">
      <c r="A105" s="62"/>
      <c r="B105" s="62"/>
      <c r="C105" s="62"/>
      <c r="D105" s="62"/>
      <c r="E105" s="62"/>
      <c r="F105" s="62"/>
      <c r="G105" s="62"/>
      <c r="H105" s="62"/>
      <c r="I105" s="62"/>
      <c r="J105" s="62"/>
      <c r="K105" s="61"/>
      <c r="L105" s="61"/>
      <c r="M105" s="62"/>
    </row>
    <row r="106" spans="1:13" x14ac:dyDescent="0.25">
      <c r="A106" s="62"/>
      <c r="B106" s="62"/>
      <c r="C106" s="62"/>
      <c r="D106" s="62"/>
      <c r="E106" s="62"/>
      <c r="F106" s="62"/>
      <c r="G106" s="62"/>
      <c r="H106" s="62"/>
      <c r="I106" s="62"/>
      <c r="J106" s="62"/>
      <c r="K106" s="61"/>
      <c r="L106" s="61"/>
      <c r="M106" s="62"/>
    </row>
    <row r="107" spans="1:13" x14ac:dyDescent="0.25">
      <c r="A107" s="62"/>
      <c r="B107" s="62"/>
      <c r="C107" s="62"/>
      <c r="D107" s="62"/>
      <c r="E107" s="62"/>
      <c r="F107" s="62"/>
      <c r="G107" s="62"/>
      <c r="H107" s="62"/>
      <c r="I107" s="62"/>
      <c r="J107" s="62"/>
      <c r="K107" s="61"/>
      <c r="L107" s="61"/>
      <c r="M107" s="62"/>
    </row>
    <row r="108" spans="1:13" x14ac:dyDescent="0.25">
      <c r="A108" s="62"/>
      <c r="B108" s="62"/>
      <c r="C108" s="62"/>
      <c r="D108" s="62"/>
      <c r="E108" s="62"/>
      <c r="F108" s="62"/>
      <c r="G108" s="62"/>
      <c r="H108" s="62"/>
      <c r="I108" s="62"/>
      <c r="J108" s="62"/>
      <c r="K108" s="61"/>
      <c r="L108" s="61"/>
      <c r="M108" s="62"/>
    </row>
    <row r="109" spans="1:13" x14ac:dyDescent="0.25">
      <c r="A109" s="62"/>
      <c r="B109" s="62"/>
      <c r="C109" s="62"/>
      <c r="D109" s="62"/>
      <c r="E109" s="62"/>
      <c r="F109" s="62"/>
      <c r="G109" s="62"/>
      <c r="H109" s="62"/>
      <c r="I109" s="62"/>
      <c r="J109" s="62"/>
      <c r="K109" s="61"/>
      <c r="L109" s="61"/>
      <c r="M109" s="62"/>
    </row>
    <row r="110" spans="1:13" x14ac:dyDescent="0.25">
      <c r="A110" s="62"/>
      <c r="B110" s="62"/>
      <c r="C110" s="62"/>
      <c r="D110" s="62"/>
      <c r="E110" s="62"/>
      <c r="F110" s="62"/>
      <c r="G110" s="62"/>
      <c r="H110" s="62"/>
      <c r="I110" s="62"/>
      <c r="J110" s="62"/>
      <c r="K110" s="61"/>
      <c r="L110" s="61"/>
      <c r="M110" s="62"/>
    </row>
    <row r="111" spans="1:13" x14ac:dyDescent="0.25">
      <c r="A111" s="62"/>
      <c r="B111" s="62"/>
      <c r="C111" s="62"/>
      <c r="D111" s="62"/>
      <c r="E111" s="62"/>
      <c r="F111" s="62"/>
      <c r="G111" s="62"/>
      <c r="H111" s="62"/>
      <c r="I111" s="62"/>
      <c r="J111" s="62"/>
      <c r="K111" s="61"/>
      <c r="L111" s="61"/>
      <c r="M111" s="62"/>
    </row>
    <row r="112" spans="1:13" x14ac:dyDescent="0.25">
      <c r="A112" s="62"/>
      <c r="B112" s="62"/>
      <c r="C112" s="62"/>
      <c r="D112" s="62"/>
      <c r="E112" s="62"/>
      <c r="F112" s="62"/>
      <c r="G112" s="62"/>
      <c r="H112" s="62"/>
      <c r="I112" s="62"/>
      <c r="J112" s="62"/>
      <c r="K112" s="61"/>
      <c r="L112" s="61"/>
      <c r="M112" s="62"/>
    </row>
    <row r="113" spans="1:13" x14ac:dyDescent="0.25">
      <c r="A113" s="62"/>
      <c r="B113" s="62"/>
      <c r="C113" s="62"/>
      <c r="D113" s="62"/>
      <c r="E113" s="62"/>
      <c r="F113" s="62"/>
      <c r="G113" s="62"/>
      <c r="H113" s="62"/>
      <c r="I113" s="62"/>
      <c r="J113" s="62"/>
      <c r="K113" s="61"/>
      <c r="L113" s="61"/>
      <c r="M113" s="62"/>
    </row>
    <row r="114" spans="1:13" x14ac:dyDescent="0.25">
      <c r="A114" s="62"/>
      <c r="B114" s="62"/>
      <c r="C114" s="62"/>
      <c r="D114" s="62"/>
      <c r="E114" s="62"/>
      <c r="F114" s="62"/>
      <c r="G114" s="62"/>
      <c r="H114" s="62"/>
      <c r="I114" s="62"/>
      <c r="J114" s="62"/>
      <c r="K114" s="61"/>
      <c r="L114" s="61"/>
      <c r="M114" s="62"/>
    </row>
    <row r="115" spans="1:13" x14ac:dyDescent="0.25">
      <c r="A115" s="62"/>
      <c r="B115" s="62"/>
      <c r="C115" s="62"/>
      <c r="D115" s="62"/>
      <c r="E115" s="62"/>
      <c r="F115" s="62"/>
      <c r="G115" s="62"/>
      <c r="H115" s="62"/>
      <c r="I115" s="62"/>
      <c r="J115" s="62"/>
      <c r="K115" s="61"/>
      <c r="L115" s="61"/>
      <c r="M115" s="62"/>
    </row>
    <row r="116" spans="1:13" x14ac:dyDescent="0.25">
      <c r="A116" s="62"/>
      <c r="B116" s="62"/>
      <c r="C116" s="62"/>
      <c r="D116" s="62"/>
      <c r="E116" s="62"/>
      <c r="F116" s="62"/>
      <c r="G116" s="62"/>
      <c r="H116" s="62"/>
      <c r="I116" s="62"/>
      <c r="J116" s="62"/>
      <c r="K116" s="61"/>
      <c r="L116" s="61"/>
      <c r="M116" s="62"/>
    </row>
    <row r="117" spans="1:13" x14ac:dyDescent="0.25">
      <c r="A117" s="62"/>
      <c r="B117" s="62"/>
      <c r="C117" s="62"/>
      <c r="D117" s="62"/>
      <c r="E117" s="62"/>
      <c r="F117" s="62"/>
      <c r="G117" s="62"/>
      <c r="H117" s="62"/>
      <c r="I117" s="62"/>
      <c r="J117" s="62"/>
      <c r="K117" s="61"/>
      <c r="L117" s="61"/>
      <c r="M117" s="62"/>
    </row>
    <row r="118" spans="1:13" x14ac:dyDescent="0.25">
      <c r="A118" s="62"/>
      <c r="B118" s="62"/>
      <c r="C118" s="62"/>
      <c r="D118" s="62"/>
      <c r="E118" s="62"/>
      <c r="F118" s="62"/>
      <c r="G118" s="62"/>
      <c r="H118" s="62"/>
      <c r="I118" s="62"/>
      <c r="J118" s="62"/>
      <c r="K118" s="61"/>
      <c r="L118" s="61"/>
      <c r="M118" s="62"/>
    </row>
    <row r="119" spans="1:13" x14ac:dyDescent="0.25">
      <c r="A119" s="62"/>
      <c r="B119" s="62"/>
      <c r="C119" s="62"/>
      <c r="D119" s="62"/>
      <c r="E119" s="62"/>
      <c r="F119" s="62"/>
      <c r="G119" s="62"/>
      <c r="H119" s="62"/>
      <c r="I119" s="62"/>
      <c r="J119" s="62"/>
      <c r="K119" s="61"/>
      <c r="L119" s="61"/>
      <c r="M119" s="62"/>
    </row>
    <row r="120" spans="1:13" x14ac:dyDescent="0.25">
      <c r="A120" s="62"/>
      <c r="B120" s="62"/>
      <c r="C120" s="62"/>
      <c r="D120" s="62"/>
      <c r="E120" s="62"/>
      <c r="F120" s="62"/>
      <c r="G120" s="62"/>
      <c r="H120" s="62"/>
      <c r="I120" s="62"/>
      <c r="J120" s="62"/>
      <c r="K120" s="61"/>
      <c r="L120" s="61"/>
      <c r="M120" s="62"/>
    </row>
    <row r="121" spans="1:13" x14ac:dyDescent="0.25">
      <c r="A121" s="62"/>
      <c r="B121" s="62"/>
      <c r="C121" s="62"/>
      <c r="D121" s="62"/>
      <c r="E121" s="62"/>
      <c r="F121" s="62"/>
      <c r="G121" s="62"/>
      <c r="H121" s="62"/>
      <c r="I121" s="62"/>
      <c r="J121" s="62"/>
      <c r="K121" s="61"/>
      <c r="L121" s="61"/>
      <c r="M121" s="62"/>
    </row>
    <row r="122" spans="1:13" x14ac:dyDescent="0.25">
      <c r="A122" s="62"/>
      <c r="B122" s="62"/>
      <c r="C122" s="62"/>
      <c r="D122" s="62"/>
      <c r="E122" s="62"/>
      <c r="F122" s="62"/>
      <c r="G122" s="62"/>
      <c r="H122" s="62"/>
      <c r="I122" s="62"/>
      <c r="J122" s="62"/>
      <c r="K122" s="61"/>
      <c r="L122" s="61"/>
      <c r="M122" s="62"/>
    </row>
  </sheetData>
  <sheetProtection insertColumns="0" insertRows="0" insertHyperlinks="0" deleteRows="0" sort="0"/>
  <dataValidations count="13">
    <dataValidation allowBlank="1" showInputMessage="1" showErrorMessage="1" promptTitle="Key" prompt="Identification of the information requirement. The key is unique within the building block and consists of the three-letter building block code and a meaningless four-digit number. The digits do not need to be consecutive. Example: PAT0141" sqref="A2" xr:uid="{00000000-0002-0000-0200-00000B000000}"/>
    <dataValidation allowBlank="1" showInputMessage="1" showErrorMessage="1" promptTitle="Source" prompt="State where the requirement originates, e.g. a specific information standard or clinical guideline. Select a source from the Sources sheet. Multiple sources can be added." sqref="I2" xr:uid="{00000000-0002-0000-0200-00000A000000}"/>
    <dataValidation allowBlank="1" showInputMessage="1" showErrorMessage="1" promptTitle="Comments" prompt="Free text. Not displayed in the implementation guide." sqref="M2" xr:uid="{00000000-0002-0000-0200-000009000000}"/>
    <dataValidation allowBlank="1" showInputMessage="1" showErrorMessage="1" promptTitle="Included or excluded requirement" prompt="Select Included information-requirements or Excluded information-requirements." sqref="K2" xr:uid="{00000000-0002-0000-0200-000008000000}"/>
    <dataValidation allowBlank="1" showInputMessage="1" showErrorMessage="1" promptTitle="Mappable to base model" prompt="Select Yes or No." sqref="J2" xr:uid="{00000000-0002-0000-0200-000007000000}"/>
    <dataValidation allowBlank="1" showInputMessage="1" showErrorMessage="1" promptTitle="Context for use" prompt="Describe the contexts in which the information requirement is relevant, such as specific use cases or applicability in the past, present, and/or future. The building block may cover only some of these contexts." sqref="H2" xr:uid="{00000000-0002-0000-0200-000006000000}"/>
    <dataValidation allowBlank="1" showInputMessage="1" showErrorMessage="1" promptTitle="Presence" prompt="If it concerns a data element: when should the element be present, or not present. For example: regarding the end date of a course of treatment: not present if the treatment is still ongoing. Notation in the form of cardinality is permitted, e.g. 1..*" sqref="G2" xr:uid="{00000000-0002-0000-0200-000005000000}"/>
    <dataValidation allowBlank="1" showInputMessage="1" showErrorMessage="1" promptTitle="EU or NL" prompt="The information requirement originates from Europe (EU) (and the Netherlands (NL)) or is specific to the Netherlands (NL)" sqref="B2" xr:uid="{00000000-0002-0000-0200-000004000000}"/>
    <dataValidation allowBlank="1" showInputMessage="1" showErrorMessage="1" promptTitle="Title" prompt="A title by which the information requirement can be recognized." sqref="C2" xr:uid="{00000000-0002-0000-0200-000003000000}"/>
    <dataValidation allowBlank="1" showInputMessage="1" showErrorMessage="1" promptTitle="Description" prompt="Provide a textual description of the need addressed by the information requirement. Specify exactly what information is required." sqref="D2" xr:uid="{00000000-0002-0000-0200-000002000000}"/>
    <dataValidation allowBlank="1" showInputMessage="1" showErrorMessage="1" promptTitle="Variability" prompt="If this is a requirement for a data element, in what ways must it be possible to express it? For example, an exact time, and/or a date, and/or a period, and/or a season. Specification of the data type is permitted." sqref="F2" xr:uid="{00000000-0002-0000-0200-000001000000}"/>
    <dataValidation allowBlank="1" showInputMessage="1" showErrorMessage="1" promptTitle="Rationale" prompt="Explain why this requirement exists and what role it plays in the care process." sqref="E2" xr:uid="{00000000-0002-0000-0200-000000000000}"/>
    <dataValidation allowBlank="1" showInputMessage="1" showErrorMessage="1" promptTitle="Derived from" prompt="Another requirement that is refined or made more specific by this requireme. This should be used for Dutch requirements that are a more specific version of an EU requirement. Enter the ‘Key’ here for the requirement from which this requirement is derived." sqref="L2" xr:uid="{00351BB2-AE57-4A1A-A9A7-476F0A383725}"/>
  </dataValidations>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4375F-9041-44C1-9BE0-D55D0AD86456}">
  <sheetPr codeName="Blad6">
    <tabColor rgb="FF6A116A"/>
  </sheetPr>
  <dimension ref="A1:E31"/>
  <sheetViews>
    <sheetView zoomScale="85" zoomScaleNormal="85" workbookViewId="0">
      <pane xSplit="2" ySplit="2" topLeftCell="C3" activePane="bottomRight" state="frozen"/>
      <selection pane="topRight" activeCell="C1" sqref="C1"/>
      <selection pane="bottomLeft" activeCell="A3" sqref="A3"/>
      <selection pane="bottomRight" activeCell="B9" sqref="B9"/>
    </sheetView>
  </sheetViews>
  <sheetFormatPr defaultColWidth="8.85546875" defaultRowHeight="15" x14ac:dyDescent="0.25"/>
  <cols>
    <col min="1" max="1" width="38.42578125" customWidth="1"/>
    <col min="2" max="2" width="57" customWidth="1"/>
    <col min="3" max="3" width="29.28515625" customWidth="1"/>
    <col min="4" max="4" width="42.42578125" customWidth="1"/>
    <col min="5" max="5" width="43.42578125" customWidth="1"/>
    <col min="6" max="8" width="9.85546875" customWidth="1"/>
    <col min="9" max="14" width="10.85546875" customWidth="1"/>
  </cols>
  <sheetData>
    <row r="1" spans="1:5" ht="147.75" customHeight="1" x14ac:dyDescent="0.25"/>
    <row r="2" spans="1:5" x14ac:dyDescent="0.25">
      <c r="A2" t="s">
        <v>46</v>
      </c>
      <c r="B2" t="s">
        <v>47</v>
      </c>
      <c r="C2" t="s">
        <v>48</v>
      </c>
      <c r="D2" t="s">
        <v>49</v>
      </c>
      <c r="E2" s="21" t="s">
        <v>50</v>
      </c>
    </row>
    <row r="3" spans="1:5" x14ac:dyDescent="0.25">
      <c r="A3" t="s">
        <v>80</v>
      </c>
      <c r="B3" t="s">
        <v>81</v>
      </c>
      <c r="C3" t="s">
        <v>82</v>
      </c>
      <c r="D3">
        <v>2020</v>
      </c>
      <c r="E3" s="22"/>
    </row>
    <row r="4" spans="1:5" x14ac:dyDescent="0.25">
      <c r="A4" t="s">
        <v>83</v>
      </c>
      <c r="B4" t="s">
        <v>84</v>
      </c>
      <c r="C4" t="s">
        <v>85</v>
      </c>
      <c r="D4" t="s">
        <v>86</v>
      </c>
      <c r="E4" s="22"/>
    </row>
    <row r="5" spans="1:5" x14ac:dyDescent="0.25">
      <c r="E5" s="22"/>
    </row>
    <row r="6" spans="1:5" x14ac:dyDescent="0.25">
      <c r="E6" s="22"/>
    </row>
    <row r="7" spans="1:5" x14ac:dyDescent="0.25">
      <c r="E7" s="22"/>
    </row>
    <row r="8" spans="1:5" x14ac:dyDescent="0.25">
      <c r="E8" s="22"/>
    </row>
    <row r="9" spans="1:5" x14ac:dyDescent="0.25">
      <c r="E9" s="22"/>
    </row>
    <row r="10" spans="1:5" x14ac:dyDescent="0.25">
      <c r="E10" s="22"/>
    </row>
    <row r="11" spans="1:5" x14ac:dyDescent="0.25">
      <c r="E11" s="22"/>
    </row>
    <row r="12" spans="1:5" x14ac:dyDescent="0.25">
      <c r="E12" s="22"/>
    </row>
    <row r="13" spans="1:5" x14ac:dyDescent="0.25">
      <c r="E13" s="22"/>
    </row>
    <row r="14" spans="1:5" x14ac:dyDescent="0.25">
      <c r="E14" s="22"/>
    </row>
    <row r="15" spans="1:5" x14ac:dyDescent="0.25">
      <c r="E15" s="22"/>
    </row>
    <row r="16" spans="1:5" x14ac:dyDescent="0.25">
      <c r="E16" s="22"/>
    </row>
    <row r="17" spans="5:5" x14ac:dyDescent="0.25">
      <c r="E17" s="22"/>
    </row>
    <row r="18" spans="5:5" x14ac:dyDescent="0.25">
      <c r="E18" s="22"/>
    </row>
    <row r="19" spans="5:5" x14ac:dyDescent="0.25">
      <c r="E19" s="22"/>
    </row>
    <row r="20" spans="5:5" x14ac:dyDescent="0.25">
      <c r="E20" s="22"/>
    </row>
    <row r="21" spans="5:5" x14ac:dyDescent="0.25">
      <c r="E21" s="22"/>
    </row>
    <row r="22" spans="5:5" x14ac:dyDescent="0.25">
      <c r="E22" s="22"/>
    </row>
    <row r="23" spans="5:5" x14ac:dyDescent="0.25">
      <c r="E23" s="22"/>
    </row>
    <row r="24" spans="5:5" x14ac:dyDescent="0.25">
      <c r="E24" s="22"/>
    </row>
    <row r="25" spans="5:5" x14ac:dyDescent="0.25">
      <c r="E25" s="22"/>
    </row>
    <row r="26" spans="5:5" x14ac:dyDescent="0.25">
      <c r="E26" s="22"/>
    </row>
    <row r="27" spans="5:5" x14ac:dyDescent="0.25">
      <c r="E27" s="22"/>
    </row>
    <row r="28" spans="5:5" x14ac:dyDescent="0.25">
      <c r="E28" s="22"/>
    </row>
    <row r="29" spans="5:5" x14ac:dyDescent="0.25">
      <c r="E29" s="22"/>
    </row>
    <row r="30" spans="5:5" x14ac:dyDescent="0.25">
      <c r="E30" s="22"/>
    </row>
    <row r="31" spans="5:5" x14ac:dyDescent="0.25">
      <c r="E31" s="22"/>
    </row>
  </sheetData>
  <phoneticPr fontId="4" type="noConversion"/>
  <dataValidations count="1">
    <dataValidation allowBlank="1" showInputMessage="1" showErrorMessage="1" promptTitle="Afkorting" prompt="Afkorting om te gebruiken in de informatiebehoefte. _x000a_Format voor modellen: Naam van standaard + versienummer (alleen major) (optioneel: + kenmerk, bijvoorbeeld modelnaam)_x000a_Voorbeelden:_x000a_FHIR_R4_x000a_Zib_2017_x000a_OpenEHR.org" sqref="A2" xr:uid="{20A6F823-6DE4-4BBA-B152-DFDACE1DA770}"/>
  </dataValidations>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02CC5-16DC-4DA4-8C40-918AE04F5FC9}">
  <sheetPr codeName="Blad7">
    <tabColor theme="1" tint="0.499984740745262"/>
  </sheetPr>
  <dimension ref="A1:J101"/>
  <sheetViews>
    <sheetView workbookViewId="0">
      <pane xSplit="2" ySplit="2" topLeftCell="C3" activePane="bottomRight" state="frozen"/>
      <selection pane="topRight" activeCell="C1" sqref="C1"/>
      <selection pane="bottomLeft" activeCell="A3" sqref="A3"/>
      <selection pane="bottomRight" activeCell="D9" sqref="D9"/>
    </sheetView>
  </sheetViews>
  <sheetFormatPr defaultColWidth="9.140625" defaultRowHeight="15" x14ac:dyDescent="0.25"/>
  <cols>
    <col min="1" max="4" width="40.7109375" style="40" customWidth="1"/>
    <col min="5" max="8" width="9.85546875" style="40" customWidth="1"/>
    <col min="9" max="16384" width="9.140625" style="40"/>
  </cols>
  <sheetData>
    <row r="1" spans="1:10" ht="168.75" customHeight="1" x14ac:dyDescent="0.25"/>
    <row r="2" spans="1:10" x14ac:dyDescent="0.25">
      <c r="A2" s="41" t="s">
        <v>51</v>
      </c>
      <c r="B2" s="41" t="s">
        <v>52</v>
      </c>
      <c r="C2" s="42" t="s">
        <v>53</v>
      </c>
      <c r="D2" s="42" t="s">
        <v>54</v>
      </c>
      <c r="E2" s="42" t="s">
        <v>55</v>
      </c>
      <c r="F2" s="42" t="s">
        <v>56</v>
      </c>
      <c r="G2" s="42" t="s">
        <v>57</v>
      </c>
      <c r="H2" s="42" t="s">
        <v>58</v>
      </c>
      <c r="I2" s="42" t="s">
        <v>59</v>
      </c>
      <c r="J2" s="42" t="s">
        <v>60</v>
      </c>
    </row>
    <row r="3" spans="1:10" x14ac:dyDescent="0.25">
      <c r="A3" s="13" t="str" cm="1">
        <f t="array" ref="A3">IFERROR(IF(INDEX(Informatiebehoefte_NL[Titel],ROW()-2)="","[Automatic]",INDEX(Informatiebehoefte_NL[Titel],ROW()-2)),"[Automatic]")</f>
        <v>Test-vereiste</v>
      </c>
      <c r="B3" s="13" t="str" cm="1">
        <f t="array" ref="B3">IFERROR(IF(INDEX(Informatiebehoefte_ENG[Title],ROW()-2)="","[Automatic]",INDEX(Informatiebehoefte_ENG[Title],ROW()-2)),"[Automatic]")</f>
        <v>Test requirement</v>
      </c>
      <c r="C3" s="43"/>
      <c r="D3" s="43"/>
      <c r="E3" s="43"/>
      <c r="F3" s="43"/>
      <c r="G3" s="43"/>
      <c r="H3" s="43"/>
      <c r="I3" s="43"/>
      <c r="J3" s="43"/>
    </row>
    <row r="4" spans="1:10" x14ac:dyDescent="0.25">
      <c r="A4" s="13" t="str" cm="1">
        <f t="array" ref="A4">IFERROR(IF(INDEX(Informatiebehoefte_NL[Titel],ROW()-2)="","[Automatic]",INDEX(Informatiebehoefte_NL[Titel],ROW()-2)),"[Automatic]")</f>
        <v>Aanvullende requirement</v>
      </c>
      <c r="B4" s="13" t="str" cm="1">
        <f t="array" ref="B4">IFERROR(IF(INDEX(Informatiebehoefte_ENG[Title],ROW()-2)="","[Automatic]",INDEX(Informatiebehoefte_ENG[Title],ROW()-2)),"[Automatic]")</f>
        <v>[Automatic]</v>
      </c>
      <c r="C4" s="43"/>
      <c r="D4" s="43"/>
      <c r="E4" s="43"/>
      <c r="F4" s="43"/>
      <c r="G4" s="43"/>
      <c r="H4" s="43"/>
      <c r="I4" s="43"/>
      <c r="J4" s="43"/>
    </row>
    <row r="5" spans="1:10" x14ac:dyDescent="0.25">
      <c r="A5" s="13" t="str" cm="1">
        <f t="array" ref="A5">IFERROR(IF(INDEX(Informatiebehoefte_NL[Titel],ROW()-2)="","[Automatic]",INDEX(Informatiebehoefte_NL[Titel],ROW()-2)),"[Automatic]")</f>
        <v>[Automatic]</v>
      </c>
      <c r="B5" s="13" t="str" cm="1">
        <f t="array" ref="B5">IFERROR(IF(INDEX(Informatiebehoefte_ENG[Title],ROW()-2)="","[Automatic]",INDEX(Informatiebehoefte_ENG[Title],ROW()-2)),"[Automatic]")</f>
        <v>[Automatic]</v>
      </c>
      <c r="C5" s="43"/>
      <c r="D5" s="43"/>
      <c r="E5" s="43"/>
      <c r="F5" s="43"/>
      <c r="G5" s="43"/>
      <c r="H5" s="43"/>
      <c r="I5" s="43"/>
      <c r="J5" s="43"/>
    </row>
    <row r="6" spans="1:10" x14ac:dyDescent="0.25">
      <c r="A6" s="13" t="str" cm="1">
        <f t="array" ref="A6">IFERROR(IF(INDEX(Informatiebehoefte_NL[Titel],ROW()-2)="","[Automatic]",INDEX(Informatiebehoefte_NL[Titel],ROW()-2)),"[Automatic]")</f>
        <v>[Automatic]</v>
      </c>
      <c r="B6" s="13" t="str" cm="1">
        <f t="array" ref="B6">IFERROR(IF(INDEX(Informatiebehoefte_ENG[Title],ROW()-2)="","[Automatic]",INDEX(Informatiebehoefte_ENG[Title],ROW()-2)),"[Automatic]")</f>
        <v>[Automatic]</v>
      </c>
      <c r="C6" s="43"/>
      <c r="D6" s="43"/>
      <c r="E6" s="43"/>
      <c r="F6" s="43"/>
      <c r="G6" s="43"/>
      <c r="H6" s="43"/>
      <c r="I6" s="43"/>
      <c r="J6" s="43"/>
    </row>
    <row r="7" spans="1:10" x14ac:dyDescent="0.25">
      <c r="A7" s="13" t="str" cm="1">
        <f t="array" ref="A7">IFERROR(IF(INDEX(Informatiebehoefte_NL[Titel],ROW()-2)="","[Automatic]",INDEX(Informatiebehoefte_NL[Titel],ROW()-2)),"[Automatic]")</f>
        <v>[Automatic]</v>
      </c>
      <c r="B7" s="13" t="str" cm="1">
        <f t="array" ref="B7">IFERROR(IF(INDEX(Informatiebehoefte_ENG[Title],ROW()-2)="","[Automatic]",INDEX(Informatiebehoefte_ENG[Title],ROW()-2)),"[Automatic]")</f>
        <v>[Automatic]</v>
      </c>
      <c r="C7" s="43"/>
      <c r="D7" s="43"/>
      <c r="E7" s="43"/>
      <c r="F7" s="43"/>
      <c r="G7" s="43"/>
      <c r="H7" s="43"/>
      <c r="I7" s="43"/>
      <c r="J7" s="43"/>
    </row>
    <row r="8" spans="1:10" x14ac:dyDescent="0.25">
      <c r="A8" s="13" t="str" cm="1">
        <f t="array" ref="A8">IFERROR(IF(INDEX(Informatiebehoefte_NL[Titel],ROW()-2)="","[Automatic]",INDEX(Informatiebehoefte_NL[Titel],ROW()-2)),"[Automatic]")</f>
        <v>[Automatic]</v>
      </c>
      <c r="B8" s="13" t="str" cm="1">
        <f t="array" ref="B8">IFERROR(IF(INDEX(Informatiebehoefte_ENG[Title],ROW()-2)="","[Automatic]",INDEX(Informatiebehoefte_ENG[Title],ROW()-2)),"[Automatic]")</f>
        <v>[Automatic]</v>
      </c>
      <c r="C8" s="43"/>
      <c r="D8" s="43"/>
      <c r="E8" s="43"/>
      <c r="F8" s="43"/>
      <c r="G8" s="43"/>
      <c r="H8" s="43"/>
      <c r="I8" s="43"/>
      <c r="J8" s="43"/>
    </row>
    <row r="9" spans="1:10" x14ac:dyDescent="0.25">
      <c r="A9" s="13" t="str" cm="1">
        <f t="array" ref="A9">IFERROR(IF(INDEX(Informatiebehoefte_NL[Titel],ROW()-2)="","[Automatic]",INDEX(Informatiebehoefte_NL[Titel],ROW()-2)),"[Automatic]")</f>
        <v>[Automatic]</v>
      </c>
      <c r="B9" s="13" t="str" cm="1">
        <f t="array" ref="B9">IFERROR(IF(INDEX(Informatiebehoefte_ENG[Title],ROW()-2)="","[Automatic]",INDEX(Informatiebehoefte_ENG[Title],ROW()-2)),"[Automatic]")</f>
        <v>[Automatic]</v>
      </c>
      <c r="C9" s="43"/>
      <c r="D9" s="43"/>
      <c r="E9" s="43"/>
      <c r="F9" s="43"/>
      <c r="G9" s="43"/>
      <c r="H9" s="43"/>
      <c r="I9" s="43"/>
      <c r="J9" s="43"/>
    </row>
    <row r="10" spans="1:10" x14ac:dyDescent="0.25">
      <c r="A10" s="13" t="str" cm="1">
        <f t="array" ref="A10">IFERROR(IF(INDEX(Informatiebehoefte_NL[Titel],ROW()-2)="","[Automatic]",INDEX(Informatiebehoefte_NL[Titel],ROW()-2)),"[Automatic]")</f>
        <v>[Automatic]</v>
      </c>
      <c r="B10" s="13" t="str" cm="1">
        <f t="array" ref="B10">IFERROR(IF(INDEX(Informatiebehoefte_ENG[Title],ROW()-2)="","[Automatic]",INDEX(Informatiebehoefte_ENG[Title],ROW()-2)),"[Automatic]")</f>
        <v>[Automatic]</v>
      </c>
      <c r="C10" s="43"/>
      <c r="D10" s="43"/>
      <c r="E10" s="43"/>
      <c r="F10" s="43"/>
      <c r="G10" s="43"/>
      <c r="H10" s="43"/>
      <c r="I10" s="43"/>
      <c r="J10" s="43"/>
    </row>
    <row r="11" spans="1:10" x14ac:dyDescent="0.25">
      <c r="A11" s="13" t="str" cm="1">
        <f t="array" ref="A11">IFERROR(IF(INDEX(Informatiebehoefte_NL[Titel],ROW()-2)="","[Automatic]",INDEX(Informatiebehoefte_NL[Titel],ROW()-2)),"[Automatic]")</f>
        <v>[Automatic]</v>
      </c>
      <c r="B11" s="13" t="str" cm="1">
        <f t="array" ref="B11">IFERROR(IF(INDEX(Informatiebehoefte_ENG[Title],ROW()-2)="","[Automatic]",INDEX(Informatiebehoefte_ENG[Title],ROW()-2)),"[Automatic]")</f>
        <v>[Automatic]</v>
      </c>
      <c r="C11" s="43"/>
      <c r="D11" s="43"/>
      <c r="E11" s="43"/>
      <c r="F11" s="43"/>
      <c r="G11" s="43"/>
      <c r="H11" s="43"/>
      <c r="I11" s="43"/>
      <c r="J11" s="43"/>
    </row>
    <row r="12" spans="1:10" x14ac:dyDescent="0.25">
      <c r="A12" s="13" t="str" cm="1">
        <f t="array" ref="A12">IFERROR(IF(INDEX(Informatiebehoefte_NL[Titel],ROW()-2)="","[Automatic]",INDEX(Informatiebehoefte_NL[Titel],ROW()-2)),"[Automatic]")</f>
        <v>[Automatic]</v>
      </c>
      <c r="B12" s="13" t="str" cm="1">
        <f t="array" ref="B12">IFERROR(IF(INDEX(Informatiebehoefte_ENG[Title],ROW()-2)="","[Automatic]",INDEX(Informatiebehoefte_ENG[Title],ROW()-2)),"[Automatic]")</f>
        <v>[Automatic]</v>
      </c>
      <c r="C12" s="43"/>
      <c r="D12" s="43"/>
      <c r="E12" s="43"/>
      <c r="F12" s="43"/>
      <c r="G12" s="43"/>
      <c r="H12" s="43"/>
      <c r="I12" s="43"/>
      <c r="J12" s="43"/>
    </row>
    <row r="13" spans="1:10" x14ac:dyDescent="0.25">
      <c r="A13" s="13" t="str" cm="1">
        <f t="array" ref="A13">IFERROR(IF(INDEX(Informatiebehoefte_NL[Titel],ROW()-2)="","[Automatic]",INDEX(Informatiebehoefte_NL[Titel],ROW()-2)),"[Automatic]")</f>
        <v>[Automatic]</v>
      </c>
      <c r="B13" s="13" t="str" cm="1">
        <f t="array" ref="B13">IFERROR(IF(INDEX(Informatiebehoefte_ENG[Title],ROW()-2)="","[Automatic]",INDEX(Informatiebehoefte_ENG[Title],ROW()-2)),"[Automatic]")</f>
        <v>[Automatic]</v>
      </c>
      <c r="C13" s="43"/>
      <c r="D13" s="43"/>
      <c r="E13" s="43"/>
      <c r="F13" s="43"/>
      <c r="G13" s="43"/>
      <c r="H13" s="43"/>
      <c r="I13" s="43"/>
      <c r="J13" s="43"/>
    </row>
    <row r="14" spans="1:10" x14ac:dyDescent="0.25">
      <c r="A14" s="13" t="str" cm="1">
        <f t="array" ref="A14">IFERROR(IF(INDEX(Informatiebehoefte_NL[Titel],ROW()-2)="","[Automatic]",INDEX(Informatiebehoefte_NL[Titel],ROW()-2)),"[Automatic]")</f>
        <v>[Automatic]</v>
      </c>
      <c r="B14" s="13" t="str" cm="1">
        <f t="array" ref="B14">IFERROR(IF(INDEX(Informatiebehoefte_ENG[Title],ROW()-2)="","[Automatic]",INDEX(Informatiebehoefte_ENG[Title],ROW()-2)),"[Automatic]")</f>
        <v>[Automatic]</v>
      </c>
      <c r="C14" s="43"/>
      <c r="D14" s="43"/>
      <c r="E14" s="43"/>
      <c r="F14" s="43"/>
      <c r="G14" s="43"/>
      <c r="H14" s="43"/>
      <c r="I14" s="43"/>
      <c r="J14" s="43"/>
    </row>
    <row r="15" spans="1:10" x14ac:dyDescent="0.25">
      <c r="A15" s="13" t="str" cm="1">
        <f t="array" ref="A15">IFERROR(IF(INDEX(Informatiebehoefte_NL[Titel],ROW()-2)="","[Automatic]",INDEX(Informatiebehoefte_NL[Titel],ROW()-2)),"[Automatic]")</f>
        <v>[Automatic]</v>
      </c>
      <c r="B15" s="13" t="str" cm="1">
        <f t="array" ref="B15">IFERROR(IF(INDEX(Informatiebehoefte_ENG[Title],ROW()-2)="","[Automatic]",INDEX(Informatiebehoefte_ENG[Title],ROW()-2)),"[Automatic]")</f>
        <v>[Automatic]</v>
      </c>
      <c r="C15" s="43"/>
      <c r="D15" s="43"/>
      <c r="E15" s="43"/>
      <c r="F15" s="43"/>
      <c r="G15" s="43"/>
      <c r="H15" s="43"/>
      <c r="I15" s="43"/>
      <c r="J15" s="43"/>
    </row>
    <row r="16" spans="1:10" x14ac:dyDescent="0.25">
      <c r="A16" s="13" t="str" cm="1">
        <f t="array" ref="A16">IFERROR(IF(INDEX(Informatiebehoefte_NL[Titel],ROW()-2)="","[Automatic]",INDEX(Informatiebehoefte_NL[Titel],ROW()-2)),"[Automatic]")</f>
        <v>[Automatic]</v>
      </c>
      <c r="B16" s="13" t="str" cm="1">
        <f t="array" ref="B16">IFERROR(IF(INDEX(Informatiebehoefte_ENG[Title],ROW()-2)="","[Automatic]",INDEX(Informatiebehoefte_ENG[Title],ROW()-2)),"[Automatic]")</f>
        <v>[Automatic]</v>
      </c>
      <c r="C16" s="43"/>
      <c r="D16" s="43"/>
      <c r="E16" s="43"/>
      <c r="F16" s="43"/>
      <c r="G16" s="43"/>
      <c r="H16" s="43"/>
      <c r="I16" s="43"/>
      <c r="J16" s="43"/>
    </row>
    <row r="17" spans="1:10" x14ac:dyDescent="0.25">
      <c r="A17" s="13" t="str" cm="1">
        <f t="array" ref="A17">IFERROR(IF(INDEX(Informatiebehoefte_NL[Titel],ROW()-2)="","[Automatic]",INDEX(Informatiebehoefte_NL[Titel],ROW()-2)),"[Automatic]")</f>
        <v>[Automatic]</v>
      </c>
      <c r="B17" s="13" t="str" cm="1">
        <f t="array" ref="B17">IFERROR(IF(INDEX(Informatiebehoefte_ENG[Title],ROW()-2)="","[Automatic]",INDEX(Informatiebehoefte_ENG[Title],ROW()-2)),"[Automatic]")</f>
        <v>[Automatic]</v>
      </c>
      <c r="C17" s="43"/>
      <c r="D17" s="43"/>
      <c r="E17" s="43"/>
      <c r="F17" s="43"/>
      <c r="G17" s="43"/>
      <c r="H17" s="43"/>
      <c r="I17" s="43"/>
      <c r="J17" s="43"/>
    </row>
    <row r="18" spans="1:10" x14ac:dyDescent="0.25">
      <c r="A18" s="13" t="str" cm="1">
        <f t="array" ref="A18">IFERROR(IF(INDEX(Informatiebehoefte_NL[Titel],ROW()-2)="","[Automatic]",INDEX(Informatiebehoefte_NL[Titel],ROW()-2)),"[Automatic]")</f>
        <v>[Automatic]</v>
      </c>
      <c r="B18" s="13" t="str" cm="1">
        <f t="array" ref="B18">IFERROR(IF(INDEX(Informatiebehoefte_ENG[Title],ROW()-2)="","[Automatic]",INDEX(Informatiebehoefte_ENG[Title],ROW()-2)),"[Automatic]")</f>
        <v>[Automatic]</v>
      </c>
      <c r="C18" s="43"/>
      <c r="D18" s="43"/>
      <c r="E18" s="43"/>
      <c r="F18" s="43"/>
      <c r="G18" s="43"/>
      <c r="H18" s="43"/>
      <c r="I18" s="43"/>
      <c r="J18" s="43"/>
    </row>
    <row r="19" spans="1:10" x14ac:dyDescent="0.25">
      <c r="A19" s="13" t="str" cm="1">
        <f t="array" ref="A19">IFERROR(IF(INDEX(Informatiebehoefte_NL[Titel],ROW()-2)="","[Automatic]",INDEX(Informatiebehoefte_NL[Titel],ROW()-2)),"[Automatic]")</f>
        <v>[Automatic]</v>
      </c>
      <c r="B19" s="13" t="str" cm="1">
        <f t="array" ref="B19">IFERROR(IF(INDEX(Informatiebehoefte_ENG[Title],ROW()-2)="","[Automatic]",INDEX(Informatiebehoefte_ENG[Title],ROW()-2)),"[Automatic]")</f>
        <v>[Automatic]</v>
      </c>
      <c r="C19" s="43"/>
      <c r="D19" s="43"/>
      <c r="E19" s="43"/>
      <c r="F19" s="43"/>
      <c r="G19" s="43"/>
      <c r="H19" s="43"/>
      <c r="I19" s="43"/>
      <c r="J19" s="43"/>
    </row>
    <row r="20" spans="1:10" x14ac:dyDescent="0.25">
      <c r="A20" s="13" t="str" cm="1">
        <f t="array" ref="A20">IFERROR(IF(INDEX(Informatiebehoefte_NL[Titel],ROW()-2)="","[Automatic]",INDEX(Informatiebehoefte_NL[Titel],ROW()-2)),"[Automatic]")</f>
        <v>[Automatic]</v>
      </c>
      <c r="B20" s="13" t="str" cm="1">
        <f t="array" ref="B20">IFERROR(IF(INDEX(Informatiebehoefte_ENG[Title],ROW()-2)="","[Automatic]",INDEX(Informatiebehoefte_ENG[Title],ROW()-2)),"[Automatic]")</f>
        <v>[Automatic]</v>
      </c>
      <c r="C20" s="43"/>
      <c r="D20" s="43"/>
      <c r="E20" s="43"/>
      <c r="F20" s="43"/>
      <c r="G20" s="43"/>
      <c r="H20" s="43"/>
      <c r="I20" s="43"/>
      <c r="J20" s="43"/>
    </row>
    <row r="21" spans="1:10" x14ac:dyDescent="0.25">
      <c r="A21" s="13" t="str" cm="1">
        <f t="array" ref="A21">IFERROR(IF(INDEX(Informatiebehoefte_NL[Titel],ROW()-2)="","[Automatic]",INDEX(Informatiebehoefte_NL[Titel],ROW()-2)),"[Automatic]")</f>
        <v>[Automatic]</v>
      </c>
      <c r="B21" s="13" t="str" cm="1">
        <f t="array" ref="B21">IFERROR(IF(INDEX(Informatiebehoefte_ENG[Title],ROW()-2)="","[Automatic]",INDEX(Informatiebehoefte_ENG[Title],ROW()-2)),"[Automatic]")</f>
        <v>[Automatic]</v>
      </c>
      <c r="C21" s="43"/>
      <c r="D21" s="43"/>
      <c r="E21" s="43"/>
      <c r="F21" s="43"/>
      <c r="G21" s="43"/>
      <c r="H21" s="43"/>
      <c r="I21" s="43"/>
      <c r="J21" s="43"/>
    </row>
    <row r="22" spans="1:10" x14ac:dyDescent="0.25">
      <c r="A22" s="13" t="str" cm="1">
        <f t="array" ref="A22">IFERROR(IF(INDEX(Informatiebehoefte_NL[Titel],ROW()-2)="","[Automatic]",INDEX(Informatiebehoefte_NL[Titel],ROW()-2)),"[Automatic]")</f>
        <v>[Automatic]</v>
      </c>
      <c r="B22" s="13" t="str" cm="1">
        <f t="array" ref="B22">IFERROR(IF(INDEX(Informatiebehoefte_ENG[Title],ROW()-2)="","[Automatic]",INDEX(Informatiebehoefte_ENG[Title],ROW()-2)),"[Automatic]")</f>
        <v>[Automatic]</v>
      </c>
      <c r="C22" s="43"/>
      <c r="D22" s="43"/>
      <c r="E22" s="43"/>
      <c r="F22" s="43"/>
      <c r="G22" s="43"/>
      <c r="H22" s="43"/>
      <c r="I22" s="43"/>
      <c r="J22" s="43"/>
    </row>
    <row r="23" spans="1:10" x14ac:dyDescent="0.25">
      <c r="A23" s="13" t="str" cm="1">
        <f t="array" ref="A23">IFERROR(IF(INDEX(Informatiebehoefte_NL[Titel],ROW()-2)="","[Automatic]",INDEX(Informatiebehoefte_NL[Titel],ROW()-2)),"[Automatic]")</f>
        <v>[Automatic]</v>
      </c>
      <c r="B23" s="13" t="str" cm="1">
        <f t="array" ref="B23">IFERROR(IF(INDEX(Informatiebehoefte_ENG[Title],ROW()-2)="","[Automatic]",INDEX(Informatiebehoefte_ENG[Title],ROW()-2)),"[Automatic]")</f>
        <v>[Automatic]</v>
      </c>
      <c r="C23" s="43"/>
      <c r="D23" s="43"/>
      <c r="E23" s="43"/>
      <c r="F23" s="43"/>
      <c r="G23" s="43"/>
      <c r="H23" s="43"/>
      <c r="I23" s="43"/>
      <c r="J23" s="43"/>
    </row>
    <row r="24" spans="1:10" x14ac:dyDescent="0.25">
      <c r="A24" s="13" t="str" cm="1">
        <f t="array" ref="A24">IFERROR(IF(INDEX(Informatiebehoefte_NL[Titel],ROW()-2)="","[Automatic]",INDEX(Informatiebehoefte_NL[Titel],ROW()-2)),"[Automatic]")</f>
        <v>[Automatic]</v>
      </c>
      <c r="B24" s="13" t="str" cm="1">
        <f t="array" ref="B24">IFERROR(IF(INDEX(Informatiebehoefte_ENG[Title],ROW()-2)="","[Automatic]",INDEX(Informatiebehoefte_ENG[Title],ROW()-2)),"[Automatic]")</f>
        <v>[Automatic]</v>
      </c>
      <c r="C24" s="43"/>
      <c r="D24" s="43"/>
      <c r="E24" s="43"/>
      <c r="F24" s="43"/>
      <c r="G24" s="43"/>
      <c r="H24" s="43"/>
      <c r="I24" s="43"/>
      <c r="J24" s="43"/>
    </row>
    <row r="25" spans="1:10" x14ac:dyDescent="0.25">
      <c r="A25" s="13" t="str" cm="1">
        <f t="array" ref="A25">IFERROR(IF(INDEX(Informatiebehoefte_NL[Titel],ROW()-2)="","[Automatic]",INDEX(Informatiebehoefte_NL[Titel],ROW()-2)),"[Automatic]")</f>
        <v>[Automatic]</v>
      </c>
      <c r="B25" s="13" t="str" cm="1">
        <f t="array" ref="B25">IFERROR(IF(INDEX(Informatiebehoefte_ENG[Title],ROW()-2)="","[Automatic]",INDEX(Informatiebehoefte_ENG[Title],ROW()-2)),"[Automatic]")</f>
        <v>[Automatic]</v>
      </c>
      <c r="C25" s="43"/>
      <c r="D25" s="43"/>
      <c r="E25" s="43"/>
      <c r="F25" s="43"/>
      <c r="G25" s="43"/>
      <c r="H25" s="43"/>
      <c r="I25" s="43"/>
      <c r="J25" s="43"/>
    </row>
    <row r="26" spans="1:10" x14ac:dyDescent="0.25">
      <c r="A26" s="13" t="str" cm="1">
        <f t="array" ref="A26">IFERROR(IF(INDEX(Informatiebehoefte_NL[Titel],ROW()-2)="","[Automatic]",INDEX(Informatiebehoefte_NL[Titel],ROW()-2)),"[Automatic]")</f>
        <v>[Automatic]</v>
      </c>
      <c r="B26" s="13" t="str" cm="1">
        <f t="array" ref="B26">IFERROR(IF(INDEX(Informatiebehoefte_ENG[Title],ROW()-2)="","[Automatic]",INDEX(Informatiebehoefte_ENG[Title],ROW()-2)),"[Automatic]")</f>
        <v>[Automatic]</v>
      </c>
      <c r="C26" s="43"/>
      <c r="D26" s="43"/>
      <c r="E26" s="43"/>
      <c r="F26" s="43"/>
      <c r="G26" s="43"/>
      <c r="H26" s="43"/>
      <c r="I26" s="43"/>
      <c r="J26" s="43"/>
    </row>
    <row r="27" spans="1:10" x14ac:dyDescent="0.25">
      <c r="A27" s="13" t="str" cm="1">
        <f t="array" ref="A27">IFERROR(IF(INDEX(Informatiebehoefte_NL[Titel],ROW()-2)="","[Automatic]",INDEX(Informatiebehoefte_NL[Titel],ROW()-2)),"[Automatic]")</f>
        <v>[Automatic]</v>
      </c>
      <c r="B27" s="13" t="str" cm="1">
        <f t="array" ref="B27">IFERROR(IF(INDEX(Informatiebehoefte_ENG[Title],ROW()-2)="","[Automatic]",INDEX(Informatiebehoefte_ENG[Title],ROW()-2)),"[Automatic]")</f>
        <v>[Automatic]</v>
      </c>
      <c r="C27" s="43"/>
      <c r="D27" s="43"/>
      <c r="E27" s="43"/>
      <c r="F27" s="43"/>
      <c r="G27" s="43"/>
      <c r="H27" s="43"/>
      <c r="I27" s="43"/>
      <c r="J27" s="43"/>
    </row>
    <row r="28" spans="1:10" x14ac:dyDescent="0.25">
      <c r="A28" s="13" t="str" cm="1">
        <f t="array" ref="A28">IFERROR(IF(INDEX(Informatiebehoefte_NL[Titel],ROW()-2)="","[Automatic]",INDEX(Informatiebehoefte_NL[Titel],ROW()-2)),"[Automatic]")</f>
        <v>[Automatic]</v>
      </c>
      <c r="B28" s="13" t="str" cm="1">
        <f t="array" ref="B28">IFERROR(IF(INDEX(Informatiebehoefte_ENG[Title],ROW()-2)="","[Automatic]",INDEX(Informatiebehoefte_ENG[Title],ROW()-2)),"[Automatic]")</f>
        <v>[Automatic]</v>
      </c>
      <c r="C28" s="43"/>
      <c r="D28" s="43"/>
      <c r="E28" s="43"/>
      <c r="F28" s="43"/>
      <c r="G28" s="43"/>
      <c r="H28" s="43"/>
      <c r="I28" s="43"/>
      <c r="J28" s="43"/>
    </row>
    <row r="29" spans="1:10" x14ac:dyDescent="0.25">
      <c r="A29" s="13" t="str" cm="1">
        <f t="array" ref="A29">IFERROR(IF(INDEX(Informatiebehoefte_NL[Titel],ROW()-2)="","[Automatic]",INDEX(Informatiebehoefte_NL[Titel],ROW()-2)),"[Automatic]")</f>
        <v>[Automatic]</v>
      </c>
      <c r="B29" s="13" t="str" cm="1">
        <f t="array" ref="B29">IFERROR(IF(INDEX(Informatiebehoefte_ENG[Title],ROW()-2)="","[Automatic]",INDEX(Informatiebehoefte_ENG[Title],ROW()-2)),"[Automatic]")</f>
        <v>[Automatic]</v>
      </c>
      <c r="C29" s="43"/>
      <c r="D29" s="43"/>
      <c r="E29" s="43"/>
      <c r="F29" s="43"/>
      <c r="G29" s="43"/>
      <c r="H29" s="43"/>
      <c r="I29" s="43"/>
      <c r="J29" s="43"/>
    </row>
    <row r="30" spans="1:10" x14ac:dyDescent="0.25">
      <c r="A30" s="13" t="str" cm="1">
        <f t="array" ref="A30">IFERROR(IF(INDEX(Informatiebehoefte_NL[Titel],ROW()-2)="","[Automatic]",INDEX(Informatiebehoefte_NL[Titel],ROW()-2)),"[Automatic]")</f>
        <v>[Automatic]</v>
      </c>
      <c r="B30" s="13" t="str" cm="1">
        <f t="array" ref="B30">IFERROR(IF(INDEX(Informatiebehoefte_ENG[Title],ROW()-2)="","[Automatic]",INDEX(Informatiebehoefte_ENG[Title],ROW()-2)),"[Automatic]")</f>
        <v>[Automatic]</v>
      </c>
      <c r="C30" s="43"/>
      <c r="D30" s="43"/>
      <c r="E30" s="43"/>
      <c r="F30" s="43"/>
      <c r="G30" s="43"/>
      <c r="H30" s="43"/>
      <c r="I30" s="43"/>
      <c r="J30" s="43"/>
    </row>
    <row r="31" spans="1:10" x14ac:dyDescent="0.25">
      <c r="A31" s="13" t="str" cm="1">
        <f t="array" ref="A31">IFERROR(IF(INDEX(Informatiebehoefte_NL[Titel],ROW()-2)="","[Automatic]",INDEX(Informatiebehoefte_NL[Titel],ROW()-2)),"[Automatic]")</f>
        <v>[Automatic]</v>
      </c>
      <c r="B31" s="13" t="str" cm="1">
        <f t="array" ref="B31">IFERROR(IF(INDEX(Informatiebehoefte_ENG[Title],ROW()-2)="","[Automatic]",INDEX(Informatiebehoefte_ENG[Title],ROW()-2)),"[Automatic]")</f>
        <v>[Automatic]</v>
      </c>
      <c r="C31" s="43"/>
      <c r="D31" s="43"/>
      <c r="E31" s="43"/>
      <c r="F31" s="43"/>
      <c r="G31" s="43"/>
      <c r="H31" s="43"/>
      <c r="I31" s="43"/>
      <c r="J31" s="43"/>
    </row>
    <row r="32" spans="1:10" x14ac:dyDescent="0.25">
      <c r="A32" s="13" t="str" cm="1">
        <f t="array" ref="A32">IFERROR(IF(INDEX(Informatiebehoefte_NL[Titel],ROW()-2)="","[Automatic]",INDEX(Informatiebehoefte_NL[Titel],ROW()-2)),"[Automatic]")</f>
        <v>[Automatic]</v>
      </c>
      <c r="B32" s="13" t="str" cm="1">
        <f t="array" ref="B32">IFERROR(IF(INDEX(Informatiebehoefte_ENG[Title],ROW()-2)="","[Automatic]",INDEX(Informatiebehoefte_ENG[Title],ROW()-2)),"[Automatic]")</f>
        <v>[Automatic]</v>
      </c>
      <c r="C32" s="43"/>
      <c r="D32" s="43"/>
      <c r="E32" s="43"/>
      <c r="F32" s="43"/>
      <c r="G32" s="43"/>
      <c r="H32" s="43"/>
      <c r="I32" s="43"/>
      <c r="J32" s="43"/>
    </row>
    <row r="33" spans="1:10" x14ac:dyDescent="0.25">
      <c r="A33" s="13" t="str" cm="1">
        <f t="array" ref="A33">IFERROR(IF(INDEX(Informatiebehoefte_NL[Titel],ROW()-2)="","[Automatic]",INDEX(Informatiebehoefte_NL[Titel],ROW()-2)),"[Automatic]")</f>
        <v>[Automatic]</v>
      </c>
      <c r="B33" s="13" t="str" cm="1">
        <f t="array" ref="B33">IFERROR(IF(INDEX(Informatiebehoefte_ENG[Title],ROW()-2)="","[Automatic]",INDEX(Informatiebehoefte_ENG[Title],ROW()-2)),"[Automatic]")</f>
        <v>[Automatic]</v>
      </c>
      <c r="C33" s="43"/>
      <c r="D33" s="43"/>
      <c r="E33" s="43"/>
      <c r="F33" s="43"/>
      <c r="G33" s="43"/>
      <c r="H33" s="43"/>
      <c r="I33" s="43"/>
      <c r="J33" s="43"/>
    </row>
    <row r="34" spans="1:10" x14ac:dyDescent="0.25">
      <c r="A34" s="13" t="str" cm="1">
        <f t="array" ref="A34">IFERROR(IF(INDEX(Informatiebehoefte_NL[Titel],ROW()-2)="","[Automatic]",INDEX(Informatiebehoefte_NL[Titel],ROW()-2)),"[Automatic]")</f>
        <v>[Automatic]</v>
      </c>
      <c r="B34" s="13" t="str" cm="1">
        <f t="array" ref="B34">IFERROR(IF(INDEX(Informatiebehoefte_ENG[Title],ROW()-2)="","[Automatic]",INDEX(Informatiebehoefte_ENG[Title],ROW()-2)),"[Automatic]")</f>
        <v>[Automatic]</v>
      </c>
      <c r="C34" s="43"/>
      <c r="D34" s="43"/>
      <c r="E34" s="43"/>
      <c r="F34" s="43"/>
      <c r="G34" s="43"/>
      <c r="H34" s="43"/>
      <c r="I34" s="43"/>
      <c r="J34" s="43"/>
    </row>
    <row r="35" spans="1:10" x14ac:dyDescent="0.25">
      <c r="A35" s="13" t="str" cm="1">
        <f t="array" ref="A35">IFERROR(IF(INDEX(Informatiebehoefte_NL[Titel],ROW()-2)="","[Automatic]",INDEX(Informatiebehoefte_NL[Titel],ROW()-2)),"[Automatic]")</f>
        <v>[Automatic]</v>
      </c>
      <c r="B35" s="13" t="str" cm="1">
        <f t="array" ref="B35">IFERROR(IF(INDEX(Informatiebehoefte_ENG[Title],ROW()-2)="","[Automatic]",INDEX(Informatiebehoefte_ENG[Title],ROW()-2)),"[Automatic]")</f>
        <v>[Automatic]</v>
      </c>
      <c r="C35" s="43"/>
      <c r="D35" s="43"/>
      <c r="E35" s="43"/>
      <c r="F35" s="43"/>
      <c r="G35" s="43"/>
      <c r="H35" s="43"/>
      <c r="I35" s="43"/>
      <c r="J35" s="43"/>
    </row>
    <row r="36" spans="1:10" x14ac:dyDescent="0.25">
      <c r="A36" s="13" t="str" cm="1">
        <f t="array" ref="A36">IFERROR(IF(INDEX(Informatiebehoefte_NL[Titel],ROW()-2)="","[Automatic]",INDEX(Informatiebehoefte_NL[Titel],ROW()-2)),"[Automatic]")</f>
        <v>[Automatic]</v>
      </c>
      <c r="B36" s="13" t="str" cm="1">
        <f t="array" ref="B36">IFERROR(IF(INDEX(Informatiebehoefte_ENG[Title],ROW()-2)="","[Automatic]",INDEX(Informatiebehoefte_ENG[Title],ROW()-2)),"[Automatic]")</f>
        <v>[Automatic]</v>
      </c>
      <c r="C36" s="43"/>
      <c r="D36" s="43"/>
      <c r="E36" s="43"/>
      <c r="F36" s="43"/>
      <c r="G36" s="43"/>
      <c r="H36" s="43"/>
      <c r="I36" s="43"/>
      <c r="J36" s="43"/>
    </row>
    <row r="37" spans="1:10" x14ac:dyDescent="0.25">
      <c r="A37" s="13" t="str" cm="1">
        <f t="array" ref="A37">IFERROR(IF(INDEX(Informatiebehoefte_NL[Titel],ROW()-2)="","[Automatic]",INDEX(Informatiebehoefte_NL[Titel],ROW()-2)),"[Automatic]")</f>
        <v>[Automatic]</v>
      </c>
      <c r="B37" s="13" t="str" cm="1">
        <f t="array" ref="B37">IFERROR(IF(INDEX(Informatiebehoefte_ENG[Title],ROW()-2)="","[Automatic]",INDEX(Informatiebehoefte_ENG[Title],ROW()-2)),"[Automatic]")</f>
        <v>[Automatic]</v>
      </c>
      <c r="C37" s="43"/>
      <c r="D37" s="43"/>
      <c r="E37" s="43"/>
      <c r="F37" s="43"/>
      <c r="G37" s="43"/>
      <c r="H37" s="43"/>
      <c r="I37" s="43"/>
      <c r="J37" s="43"/>
    </row>
    <row r="38" spans="1:10" x14ac:dyDescent="0.25">
      <c r="A38" s="13" t="str" cm="1">
        <f t="array" ref="A38">IFERROR(IF(INDEX(Informatiebehoefte_NL[Titel],ROW()-2)="","[Automatic]",INDEX(Informatiebehoefte_NL[Titel],ROW()-2)),"[Automatic]")</f>
        <v>[Automatic]</v>
      </c>
      <c r="B38" s="13" t="str" cm="1">
        <f t="array" ref="B38">IFERROR(IF(INDEX(Informatiebehoefte_ENG[Title],ROW()-2)="","[Automatic]",INDEX(Informatiebehoefte_ENG[Title],ROW()-2)),"[Automatic]")</f>
        <v>[Automatic]</v>
      </c>
      <c r="C38" s="43"/>
      <c r="D38" s="43"/>
      <c r="E38" s="43"/>
      <c r="F38" s="43"/>
      <c r="G38" s="43"/>
      <c r="H38" s="43"/>
      <c r="I38" s="43"/>
      <c r="J38" s="43"/>
    </row>
    <row r="39" spans="1:10" x14ac:dyDescent="0.25">
      <c r="A39" s="13" t="str" cm="1">
        <f t="array" ref="A39">IFERROR(IF(INDEX(Informatiebehoefte_NL[Titel],ROW()-2)="","[Automatic]",INDEX(Informatiebehoefte_NL[Titel],ROW()-2)),"[Automatic]")</f>
        <v>[Automatic]</v>
      </c>
      <c r="B39" s="13" t="str" cm="1">
        <f t="array" ref="B39">IFERROR(IF(INDEX(Informatiebehoefte_ENG[Title],ROW()-2)="","[Automatic]",INDEX(Informatiebehoefte_ENG[Title],ROW()-2)),"[Automatic]")</f>
        <v>[Automatic]</v>
      </c>
      <c r="C39" s="43"/>
      <c r="D39" s="43"/>
      <c r="E39" s="43"/>
      <c r="F39" s="43"/>
      <c r="G39" s="43"/>
      <c r="H39" s="43"/>
      <c r="I39" s="43"/>
      <c r="J39" s="43"/>
    </row>
    <row r="40" spans="1:10" x14ac:dyDescent="0.25">
      <c r="A40" s="13" t="str" cm="1">
        <f t="array" ref="A40">IFERROR(IF(INDEX(Informatiebehoefte_NL[Titel],ROW()-2)="","[Automatic]",INDEX(Informatiebehoefte_NL[Titel],ROW()-2)),"[Automatic]")</f>
        <v>[Automatic]</v>
      </c>
      <c r="B40" s="13" t="str" cm="1">
        <f t="array" ref="B40">IFERROR(IF(INDEX(Informatiebehoefte_ENG[Title],ROW()-2)="","[Automatic]",INDEX(Informatiebehoefte_ENG[Title],ROW()-2)),"[Automatic]")</f>
        <v>[Automatic]</v>
      </c>
      <c r="C40" s="43"/>
      <c r="D40" s="43"/>
      <c r="E40" s="43"/>
      <c r="F40" s="43"/>
      <c r="G40" s="43"/>
      <c r="H40" s="43"/>
      <c r="I40" s="43"/>
      <c r="J40" s="43"/>
    </row>
    <row r="41" spans="1:10" x14ac:dyDescent="0.25">
      <c r="A41" s="13" t="str" cm="1">
        <f t="array" ref="A41">IFERROR(IF(INDEX(Informatiebehoefte_NL[Titel],ROW()-2)="","[Automatic]",INDEX(Informatiebehoefte_NL[Titel],ROW()-2)),"[Automatic]")</f>
        <v>[Automatic]</v>
      </c>
      <c r="B41" s="13" t="str" cm="1">
        <f t="array" ref="B41">IFERROR(IF(INDEX(Informatiebehoefte_ENG[Title],ROW()-2)="","[Automatic]",INDEX(Informatiebehoefte_ENG[Title],ROW()-2)),"[Automatic]")</f>
        <v>[Automatic]</v>
      </c>
      <c r="C41" s="43"/>
      <c r="D41" s="43"/>
      <c r="E41" s="43"/>
      <c r="F41" s="43"/>
      <c r="G41" s="43"/>
      <c r="H41" s="43"/>
      <c r="I41" s="43"/>
      <c r="J41" s="43"/>
    </row>
    <row r="42" spans="1:10" x14ac:dyDescent="0.25">
      <c r="A42" s="13" t="str" cm="1">
        <f t="array" ref="A42">IFERROR(IF(INDEX(Informatiebehoefte_NL[Titel],ROW()-2)="","[Automatic]",INDEX(Informatiebehoefte_NL[Titel],ROW()-2)),"[Automatic]")</f>
        <v>[Automatic]</v>
      </c>
      <c r="B42" s="13" t="str" cm="1">
        <f t="array" ref="B42">IFERROR(IF(INDEX(Informatiebehoefte_ENG[Title],ROW()-2)="","[Automatic]",INDEX(Informatiebehoefte_ENG[Title],ROW()-2)),"[Automatic]")</f>
        <v>[Automatic]</v>
      </c>
      <c r="C42" s="43"/>
      <c r="D42" s="43"/>
      <c r="E42" s="43"/>
      <c r="F42" s="43"/>
      <c r="G42" s="43"/>
      <c r="H42" s="43"/>
      <c r="I42" s="43"/>
      <c r="J42" s="43"/>
    </row>
    <row r="43" spans="1:10" x14ac:dyDescent="0.25">
      <c r="A43" s="13" t="str" cm="1">
        <f t="array" ref="A43">IFERROR(IF(INDEX(Informatiebehoefte_NL[Titel],ROW()-2)="","[Automatic]",INDEX(Informatiebehoefte_NL[Titel],ROW()-2)),"[Automatic]")</f>
        <v>[Automatic]</v>
      </c>
      <c r="B43" s="13" t="str" cm="1">
        <f t="array" ref="B43">IFERROR(IF(INDEX(Informatiebehoefte_ENG[Title],ROW()-2)="","[Automatic]",INDEX(Informatiebehoefte_ENG[Title],ROW()-2)),"[Automatic]")</f>
        <v>[Automatic]</v>
      </c>
      <c r="C43" s="43"/>
      <c r="D43" s="43"/>
      <c r="E43" s="43"/>
      <c r="F43" s="43"/>
      <c r="G43" s="43"/>
      <c r="H43" s="43"/>
      <c r="I43" s="43"/>
      <c r="J43" s="43"/>
    </row>
    <row r="44" spans="1:10" x14ac:dyDescent="0.25">
      <c r="A44" s="13" t="str" cm="1">
        <f t="array" ref="A44">IFERROR(IF(INDEX(Informatiebehoefte_NL[Titel],ROW()-2)="","[Automatic]",INDEX(Informatiebehoefte_NL[Titel],ROW()-2)),"[Automatic]")</f>
        <v>[Automatic]</v>
      </c>
      <c r="B44" s="13" t="str" cm="1">
        <f t="array" ref="B44">IFERROR(IF(INDEX(Informatiebehoefte_ENG[Title],ROW()-2)="","[Automatic]",INDEX(Informatiebehoefte_ENG[Title],ROW()-2)),"[Automatic]")</f>
        <v>[Automatic]</v>
      </c>
      <c r="C44" s="43"/>
      <c r="D44" s="43"/>
      <c r="E44" s="43"/>
      <c r="F44" s="43"/>
      <c r="G44" s="43"/>
      <c r="H44" s="43"/>
      <c r="I44" s="43"/>
      <c r="J44" s="43"/>
    </row>
    <row r="45" spans="1:10" x14ac:dyDescent="0.25">
      <c r="A45" s="13" t="str" cm="1">
        <f t="array" ref="A45">IFERROR(IF(INDEX(Informatiebehoefte_NL[Titel],ROW()-2)="","[Automatic]",INDEX(Informatiebehoefte_NL[Titel],ROW()-2)),"[Automatic]")</f>
        <v>[Automatic]</v>
      </c>
      <c r="B45" s="13" t="str" cm="1">
        <f t="array" ref="B45">IFERROR(IF(INDEX(Informatiebehoefte_ENG[Title],ROW()-2)="","[Automatic]",INDEX(Informatiebehoefte_ENG[Title],ROW()-2)),"[Automatic]")</f>
        <v>[Automatic]</v>
      </c>
      <c r="C45" s="43"/>
      <c r="D45" s="43"/>
      <c r="E45" s="43"/>
      <c r="F45" s="43"/>
      <c r="G45" s="43"/>
      <c r="H45" s="43"/>
      <c r="I45" s="43"/>
      <c r="J45" s="43"/>
    </row>
    <row r="46" spans="1:10" x14ac:dyDescent="0.25">
      <c r="A46" s="13" t="str" cm="1">
        <f t="array" ref="A46">IFERROR(IF(INDEX(Informatiebehoefte_NL[Titel],ROW()-2)="","[Automatic]",INDEX(Informatiebehoefte_NL[Titel],ROW()-2)),"[Automatic]")</f>
        <v>[Automatic]</v>
      </c>
      <c r="B46" s="13" t="str" cm="1">
        <f t="array" ref="B46">IFERROR(IF(INDEX(Informatiebehoefte_ENG[Title],ROW()-2)="","[Automatic]",INDEX(Informatiebehoefte_ENG[Title],ROW()-2)),"[Automatic]")</f>
        <v>[Automatic]</v>
      </c>
      <c r="C46" s="43"/>
      <c r="D46" s="43"/>
      <c r="E46" s="43"/>
      <c r="F46" s="43"/>
      <c r="G46" s="43"/>
      <c r="H46" s="43"/>
      <c r="I46" s="43"/>
      <c r="J46" s="43"/>
    </row>
    <row r="47" spans="1:10" x14ac:dyDescent="0.25">
      <c r="A47" s="13" t="str" cm="1">
        <f t="array" ref="A47">IFERROR(IF(INDEX(Informatiebehoefte_NL[Titel],ROW()-2)="","[Automatic]",INDEX(Informatiebehoefte_NL[Titel],ROW()-2)),"[Automatic]")</f>
        <v>[Automatic]</v>
      </c>
      <c r="B47" s="13" t="str" cm="1">
        <f t="array" ref="B47">IFERROR(IF(INDEX(Informatiebehoefte_ENG[Title],ROW()-2)="","[Automatic]",INDEX(Informatiebehoefte_ENG[Title],ROW()-2)),"[Automatic]")</f>
        <v>[Automatic]</v>
      </c>
      <c r="C47" s="43"/>
      <c r="D47" s="43"/>
      <c r="E47" s="43"/>
      <c r="F47" s="43"/>
      <c r="G47" s="43"/>
      <c r="H47" s="43"/>
      <c r="I47" s="43"/>
      <c r="J47" s="43"/>
    </row>
    <row r="48" spans="1:10" x14ac:dyDescent="0.25">
      <c r="A48" s="13" t="str" cm="1">
        <f t="array" ref="A48">IFERROR(IF(INDEX(Informatiebehoefte_NL[Titel],ROW()-2)="","[Automatic]",INDEX(Informatiebehoefte_NL[Titel],ROW()-2)),"[Automatic]")</f>
        <v>[Automatic]</v>
      </c>
      <c r="B48" s="13" t="str" cm="1">
        <f t="array" ref="B48">IFERROR(IF(INDEX(Informatiebehoefte_ENG[Title],ROW()-2)="","[Automatic]",INDEX(Informatiebehoefte_ENG[Title],ROW()-2)),"[Automatic]")</f>
        <v>[Automatic]</v>
      </c>
      <c r="C48" s="43"/>
      <c r="D48" s="43"/>
      <c r="E48" s="43"/>
      <c r="F48" s="43"/>
      <c r="G48" s="43"/>
      <c r="H48" s="43"/>
      <c r="I48" s="43"/>
      <c r="J48" s="43"/>
    </row>
    <row r="49" spans="1:10" x14ac:dyDescent="0.25">
      <c r="A49" s="13" t="str" cm="1">
        <f t="array" ref="A49">IFERROR(IF(INDEX(Informatiebehoefte_NL[Titel],ROW()-2)="","[Automatic]",INDEX(Informatiebehoefte_NL[Titel],ROW()-2)),"[Automatic]")</f>
        <v>[Automatic]</v>
      </c>
      <c r="B49" s="13" t="str" cm="1">
        <f t="array" ref="B49">IFERROR(IF(INDEX(Informatiebehoefte_ENG[Title],ROW()-2)="","[Automatic]",INDEX(Informatiebehoefte_ENG[Title],ROW()-2)),"[Automatic]")</f>
        <v>[Automatic]</v>
      </c>
      <c r="C49" s="43"/>
      <c r="D49" s="43"/>
      <c r="E49" s="43"/>
      <c r="F49" s="43"/>
      <c r="G49" s="43"/>
      <c r="H49" s="43"/>
      <c r="I49" s="43"/>
      <c r="J49" s="43"/>
    </row>
    <row r="50" spans="1:10" x14ac:dyDescent="0.25">
      <c r="A50" s="13" t="str" cm="1">
        <f t="array" ref="A50">IFERROR(IF(INDEX(Informatiebehoefte_NL[Titel],ROW()-2)="","[Automatic]",INDEX(Informatiebehoefte_NL[Titel],ROW()-2)),"[Automatic]")</f>
        <v>[Automatic]</v>
      </c>
      <c r="B50" s="13" t="str" cm="1">
        <f t="array" ref="B50">IFERROR(IF(INDEX(Informatiebehoefte_ENG[Title],ROW()-2)="","[Automatic]",INDEX(Informatiebehoefte_ENG[Title],ROW()-2)),"[Automatic]")</f>
        <v>[Automatic]</v>
      </c>
      <c r="C50" s="43"/>
      <c r="D50" s="43"/>
      <c r="E50" s="43"/>
      <c r="F50" s="43"/>
      <c r="G50" s="43"/>
      <c r="H50" s="43"/>
      <c r="I50" s="43"/>
      <c r="J50" s="43"/>
    </row>
    <row r="51" spans="1:10" x14ac:dyDescent="0.25">
      <c r="A51" s="13" t="str" cm="1">
        <f t="array" ref="A51">IFERROR(IF(INDEX(Informatiebehoefte_NL[Titel],ROW()-2)="","[Automatic]",INDEX(Informatiebehoefte_NL[Titel],ROW()-2)),"[Automatic]")</f>
        <v>[Automatic]</v>
      </c>
      <c r="B51" s="13" t="str" cm="1">
        <f t="array" ref="B51">IFERROR(IF(INDEX(Informatiebehoefte_ENG[Title],ROW()-2)="","[Automatic]",INDEX(Informatiebehoefte_ENG[Title],ROW()-2)),"[Automatic]")</f>
        <v>[Automatic]</v>
      </c>
      <c r="C51" s="43"/>
      <c r="D51" s="43"/>
      <c r="E51" s="43"/>
      <c r="F51" s="43"/>
      <c r="G51" s="43"/>
      <c r="H51" s="43"/>
      <c r="I51" s="43"/>
      <c r="J51" s="43"/>
    </row>
    <row r="52" spans="1:10" x14ac:dyDescent="0.25">
      <c r="A52" s="13" t="str" cm="1">
        <f t="array" ref="A52">IFERROR(IF(INDEX(Informatiebehoefte_NL[Titel],ROW()-2)="","[Automatic]",INDEX(Informatiebehoefte_NL[Titel],ROW()-2)),"[Automatic]")</f>
        <v>[Automatic]</v>
      </c>
      <c r="B52" s="13" t="str" cm="1">
        <f t="array" ref="B52">IFERROR(IF(INDEX(Informatiebehoefte_ENG[Title],ROW()-2)="","[Automatic]",INDEX(Informatiebehoefte_ENG[Title],ROW()-2)),"[Automatic]")</f>
        <v>[Automatic]</v>
      </c>
      <c r="C52" s="43"/>
      <c r="D52" s="43"/>
      <c r="E52" s="43"/>
      <c r="F52" s="43"/>
      <c r="G52" s="43"/>
      <c r="H52" s="43"/>
      <c r="I52" s="43"/>
      <c r="J52" s="43"/>
    </row>
    <row r="53" spans="1:10" x14ac:dyDescent="0.25">
      <c r="A53" s="13" t="str" cm="1">
        <f t="array" ref="A53">IFERROR(IF(INDEX(Informatiebehoefte_NL[Titel],ROW()-2)="","[Automatic]",INDEX(Informatiebehoefte_NL[Titel],ROW()-2)),"[Automatic]")</f>
        <v>[Automatic]</v>
      </c>
      <c r="B53" s="13" t="str" cm="1">
        <f t="array" ref="B53">IFERROR(IF(INDEX(Informatiebehoefte_ENG[Title],ROW()-2)="","[Automatic]",INDEX(Informatiebehoefte_ENG[Title],ROW()-2)),"[Automatic]")</f>
        <v>[Automatic]</v>
      </c>
      <c r="C53" s="43"/>
      <c r="D53" s="43"/>
      <c r="E53" s="43"/>
      <c r="F53" s="43"/>
      <c r="G53" s="43"/>
      <c r="H53" s="43"/>
      <c r="I53" s="43"/>
      <c r="J53" s="43"/>
    </row>
    <row r="54" spans="1:10" x14ac:dyDescent="0.25">
      <c r="A54" s="13" t="str" cm="1">
        <f t="array" ref="A54">IFERROR(IF(INDEX(Informatiebehoefte_NL[Titel],ROW()-2)="","[Automatic]",INDEX(Informatiebehoefte_NL[Titel],ROW()-2)),"[Automatic]")</f>
        <v>[Automatic]</v>
      </c>
      <c r="B54" s="13" t="str" cm="1">
        <f t="array" ref="B54">IFERROR(IF(INDEX(Informatiebehoefte_ENG[Title],ROW()-2)="","[Automatic]",INDEX(Informatiebehoefte_ENG[Title],ROW()-2)),"[Automatic]")</f>
        <v>[Automatic]</v>
      </c>
      <c r="C54" s="43"/>
      <c r="D54" s="43"/>
      <c r="E54" s="43"/>
      <c r="F54" s="43"/>
      <c r="G54" s="43"/>
      <c r="H54" s="43"/>
      <c r="I54" s="43"/>
      <c r="J54" s="43"/>
    </row>
    <row r="55" spans="1:10" x14ac:dyDescent="0.25">
      <c r="A55" s="13" t="str" cm="1">
        <f t="array" ref="A55">IFERROR(IF(INDEX(Informatiebehoefte_NL[Titel],ROW()-2)="","[Automatic]",INDEX(Informatiebehoefte_NL[Titel],ROW()-2)),"[Automatic]")</f>
        <v>[Automatic]</v>
      </c>
      <c r="B55" s="13" t="str" cm="1">
        <f t="array" ref="B55">IFERROR(IF(INDEX(Informatiebehoefte_ENG[Title],ROW()-2)="","[Automatic]",INDEX(Informatiebehoefte_ENG[Title],ROW()-2)),"[Automatic]")</f>
        <v>[Automatic]</v>
      </c>
      <c r="C55" s="43"/>
      <c r="D55" s="43"/>
      <c r="E55" s="43"/>
      <c r="F55" s="43"/>
      <c r="G55" s="43"/>
      <c r="H55" s="43"/>
      <c r="I55" s="43"/>
      <c r="J55" s="43"/>
    </row>
    <row r="56" spans="1:10" x14ac:dyDescent="0.25">
      <c r="A56" s="13" t="str" cm="1">
        <f t="array" ref="A56">IFERROR(IF(INDEX(Informatiebehoefte_NL[Titel],ROW()-2)="","[Automatic]",INDEX(Informatiebehoefte_NL[Titel],ROW()-2)),"[Automatic]")</f>
        <v>[Automatic]</v>
      </c>
      <c r="B56" s="13" t="str" cm="1">
        <f t="array" ref="B56">IFERROR(IF(INDEX(Informatiebehoefte_ENG[Title],ROW()-2)="","[Automatic]",INDEX(Informatiebehoefte_ENG[Title],ROW()-2)),"[Automatic]")</f>
        <v>[Automatic]</v>
      </c>
      <c r="C56" s="43"/>
      <c r="D56" s="43"/>
      <c r="E56" s="43"/>
      <c r="F56" s="43"/>
      <c r="G56" s="43"/>
      <c r="H56" s="43"/>
      <c r="I56" s="43"/>
      <c r="J56" s="43"/>
    </row>
    <row r="57" spans="1:10" x14ac:dyDescent="0.25">
      <c r="A57" s="13" t="str" cm="1">
        <f t="array" ref="A57">IFERROR(IF(INDEX(Informatiebehoefte_NL[Titel],ROW()-2)="","[Automatic]",INDEX(Informatiebehoefte_NL[Titel],ROW()-2)),"[Automatic]")</f>
        <v>[Automatic]</v>
      </c>
      <c r="B57" s="13" t="str" cm="1">
        <f t="array" ref="B57">IFERROR(IF(INDEX(Informatiebehoefte_ENG[Title],ROW()-2)="","[Automatic]",INDEX(Informatiebehoefte_ENG[Title],ROW()-2)),"[Automatic]")</f>
        <v>[Automatic]</v>
      </c>
      <c r="C57" s="43"/>
      <c r="D57" s="43"/>
      <c r="E57" s="43"/>
      <c r="F57" s="43"/>
      <c r="G57" s="43"/>
      <c r="H57" s="43"/>
      <c r="I57" s="43"/>
      <c r="J57" s="43"/>
    </row>
    <row r="58" spans="1:10" x14ac:dyDescent="0.25">
      <c r="A58" s="13" t="str" cm="1">
        <f t="array" ref="A58">IFERROR(IF(INDEX(Informatiebehoefte_NL[Titel],ROW()-2)="","[Automatic]",INDEX(Informatiebehoefte_NL[Titel],ROW()-2)),"[Automatic]")</f>
        <v>[Automatic]</v>
      </c>
      <c r="B58" s="13" t="str" cm="1">
        <f t="array" ref="B58">IFERROR(IF(INDEX(Informatiebehoefte_ENG[Title],ROW()-2)="","[Automatic]",INDEX(Informatiebehoefte_ENG[Title],ROW()-2)),"[Automatic]")</f>
        <v>[Automatic]</v>
      </c>
      <c r="C58" s="43"/>
      <c r="D58" s="43"/>
      <c r="E58" s="43"/>
      <c r="F58" s="43"/>
      <c r="G58" s="43"/>
      <c r="H58" s="43"/>
      <c r="I58" s="43"/>
      <c r="J58" s="43"/>
    </row>
    <row r="59" spans="1:10" x14ac:dyDescent="0.25">
      <c r="A59" s="13" t="str" cm="1">
        <f t="array" ref="A59">IFERROR(IF(INDEX(Informatiebehoefte_NL[Titel],ROW()-2)="","[Automatic]",INDEX(Informatiebehoefte_NL[Titel],ROW()-2)),"[Automatic]")</f>
        <v>[Automatic]</v>
      </c>
      <c r="B59" s="13" t="str" cm="1">
        <f t="array" ref="B59">IFERROR(IF(INDEX(Informatiebehoefte_ENG[Title],ROW()-2)="","[Automatic]",INDEX(Informatiebehoefte_ENG[Title],ROW()-2)),"[Automatic]")</f>
        <v>[Automatic]</v>
      </c>
      <c r="C59" s="43"/>
      <c r="D59" s="43"/>
      <c r="E59" s="43"/>
      <c r="F59" s="43"/>
      <c r="G59" s="43"/>
      <c r="H59" s="43"/>
      <c r="I59" s="43"/>
      <c r="J59" s="43"/>
    </row>
    <row r="60" spans="1:10" x14ac:dyDescent="0.25">
      <c r="A60" s="13" t="str" cm="1">
        <f t="array" ref="A60">IFERROR(IF(INDEX(Informatiebehoefte_NL[Titel],ROW()-2)="","[Automatic]",INDEX(Informatiebehoefte_NL[Titel],ROW()-2)),"[Automatic]")</f>
        <v>[Automatic]</v>
      </c>
      <c r="B60" s="13" t="str" cm="1">
        <f t="array" ref="B60">IFERROR(IF(INDEX(Informatiebehoefte_ENG[Title],ROW()-2)="","[Automatic]",INDEX(Informatiebehoefte_ENG[Title],ROW()-2)),"[Automatic]")</f>
        <v>[Automatic]</v>
      </c>
      <c r="C60" s="43"/>
      <c r="D60" s="43"/>
      <c r="E60" s="43"/>
      <c r="F60" s="43"/>
      <c r="G60" s="43"/>
      <c r="H60" s="43"/>
      <c r="I60" s="43"/>
      <c r="J60" s="43"/>
    </row>
    <row r="61" spans="1:10" x14ac:dyDescent="0.25">
      <c r="A61" s="13" t="str" cm="1">
        <f t="array" ref="A61">IFERROR(IF(INDEX(Informatiebehoefte_NL[Titel],ROW()-2)="","[Automatic]",INDEX(Informatiebehoefte_NL[Titel],ROW()-2)),"[Automatic]")</f>
        <v>[Automatic]</v>
      </c>
      <c r="B61" s="13" t="str" cm="1">
        <f t="array" ref="B61">IFERROR(IF(INDEX(Informatiebehoefte_ENG[Title],ROW()-2)="","[Automatic]",INDEX(Informatiebehoefte_ENG[Title],ROW()-2)),"[Automatic]")</f>
        <v>[Automatic]</v>
      </c>
      <c r="C61" s="43"/>
      <c r="D61" s="43"/>
      <c r="E61" s="43"/>
      <c r="F61" s="43"/>
      <c r="G61" s="43"/>
      <c r="H61" s="43"/>
      <c r="I61" s="43"/>
      <c r="J61" s="43"/>
    </row>
    <row r="62" spans="1:10" x14ac:dyDescent="0.25">
      <c r="A62" s="13" t="str" cm="1">
        <f t="array" ref="A62">IFERROR(IF(INDEX(Informatiebehoefte_NL[Titel],ROW()-2)="","[Automatic]",INDEX(Informatiebehoefte_NL[Titel],ROW()-2)),"[Automatic]")</f>
        <v>[Automatic]</v>
      </c>
      <c r="B62" s="13" t="str" cm="1">
        <f t="array" ref="B62">IFERROR(IF(INDEX(Informatiebehoefte_ENG[Title],ROW()-2)="","[Automatic]",INDEX(Informatiebehoefte_ENG[Title],ROW()-2)),"[Automatic]")</f>
        <v>[Automatic]</v>
      </c>
      <c r="C62" s="43"/>
      <c r="D62" s="43"/>
      <c r="E62" s="43"/>
      <c r="F62" s="43"/>
      <c r="G62" s="43"/>
      <c r="H62" s="43"/>
      <c r="I62" s="43"/>
      <c r="J62" s="43"/>
    </row>
    <row r="63" spans="1:10" x14ac:dyDescent="0.25">
      <c r="A63" s="13" t="str" cm="1">
        <f t="array" ref="A63">IFERROR(IF(INDEX(Informatiebehoefte_NL[Titel],ROW()-2)="","[Automatic]",INDEX(Informatiebehoefte_NL[Titel],ROW()-2)),"[Automatic]")</f>
        <v>[Automatic]</v>
      </c>
      <c r="B63" s="13" t="str" cm="1">
        <f t="array" ref="B63">IFERROR(IF(INDEX(Informatiebehoefte_ENG[Title],ROW()-2)="","[Automatic]",INDEX(Informatiebehoefte_ENG[Title],ROW()-2)),"[Automatic]")</f>
        <v>[Automatic]</v>
      </c>
      <c r="C63" s="43"/>
      <c r="D63" s="43"/>
      <c r="E63" s="43"/>
      <c r="F63" s="43"/>
      <c r="G63" s="43"/>
      <c r="H63" s="43"/>
      <c r="I63" s="43"/>
      <c r="J63" s="43"/>
    </row>
    <row r="64" spans="1:10" x14ac:dyDescent="0.25">
      <c r="A64" s="13" t="str" cm="1">
        <f t="array" ref="A64">IFERROR(IF(INDEX(Informatiebehoefte_NL[Titel],ROW()-2)="","[Automatic]",INDEX(Informatiebehoefte_NL[Titel],ROW()-2)),"[Automatic]")</f>
        <v>[Automatic]</v>
      </c>
      <c r="B64" s="13" t="str" cm="1">
        <f t="array" ref="B64">IFERROR(IF(INDEX(Informatiebehoefte_ENG[Title],ROW()-2)="","[Automatic]",INDEX(Informatiebehoefte_ENG[Title],ROW()-2)),"[Automatic]")</f>
        <v>[Automatic]</v>
      </c>
      <c r="C64" s="43"/>
      <c r="D64" s="43"/>
      <c r="E64" s="43"/>
      <c r="F64" s="43"/>
      <c r="G64" s="43"/>
      <c r="H64" s="43"/>
      <c r="I64" s="43"/>
      <c r="J64" s="43"/>
    </row>
    <row r="65" spans="1:10" x14ac:dyDescent="0.25">
      <c r="A65" s="13" t="str" cm="1">
        <f t="array" ref="A65">IFERROR(IF(INDEX(Informatiebehoefte_NL[Titel],ROW()-2)="","[Automatic]",INDEX(Informatiebehoefte_NL[Titel],ROW()-2)),"[Automatic]")</f>
        <v>[Automatic]</v>
      </c>
      <c r="B65" s="13" t="str" cm="1">
        <f t="array" ref="B65">IFERROR(IF(INDEX(Informatiebehoefte_ENG[Title],ROW()-2)="","[Automatic]",INDEX(Informatiebehoefte_ENG[Title],ROW()-2)),"[Automatic]")</f>
        <v>[Automatic]</v>
      </c>
      <c r="C65" s="43"/>
      <c r="D65" s="43"/>
      <c r="E65" s="43"/>
      <c r="F65" s="43"/>
      <c r="G65" s="43"/>
      <c r="H65" s="43"/>
      <c r="I65" s="43"/>
      <c r="J65" s="43"/>
    </row>
    <row r="66" spans="1:10" x14ac:dyDescent="0.25">
      <c r="A66" s="13" t="str" cm="1">
        <f t="array" ref="A66">IFERROR(IF(INDEX(Informatiebehoefte_NL[Titel],ROW()-2)="","[Automatic]",INDEX(Informatiebehoefte_NL[Titel],ROW()-2)),"[Automatic]")</f>
        <v>[Automatic]</v>
      </c>
      <c r="B66" s="13" t="str" cm="1">
        <f t="array" ref="B66">IFERROR(IF(INDEX(Informatiebehoefte_ENG[Title],ROW()-2)="","[Automatic]",INDEX(Informatiebehoefte_ENG[Title],ROW()-2)),"[Automatic]")</f>
        <v>[Automatic]</v>
      </c>
      <c r="C66" s="43"/>
      <c r="D66" s="43"/>
      <c r="E66" s="43"/>
      <c r="F66" s="43"/>
      <c r="G66" s="43"/>
      <c r="H66" s="43"/>
      <c r="I66" s="43"/>
      <c r="J66" s="43"/>
    </row>
    <row r="67" spans="1:10" x14ac:dyDescent="0.25">
      <c r="A67" s="13" t="str" cm="1">
        <f t="array" ref="A67">IFERROR(IF(INDEX(Informatiebehoefte_NL[Titel],ROW()-2)="","[Automatic]",INDEX(Informatiebehoefte_NL[Titel],ROW()-2)),"[Automatic]")</f>
        <v>[Automatic]</v>
      </c>
      <c r="B67" s="13" t="str" cm="1">
        <f t="array" ref="B67">IFERROR(IF(INDEX(Informatiebehoefte_ENG[Title],ROW()-2)="","[Automatic]",INDEX(Informatiebehoefte_ENG[Title],ROW()-2)),"[Automatic]")</f>
        <v>[Automatic]</v>
      </c>
      <c r="C67" s="43"/>
      <c r="D67" s="43"/>
      <c r="E67" s="43"/>
      <c r="F67" s="43"/>
      <c r="G67" s="43"/>
      <c r="H67" s="43"/>
      <c r="I67" s="43"/>
      <c r="J67" s="43"/>
    </row>
    <row r="68" spans="1:10" x14ac:dyDescent="0.25">
      <c r="A68" s="13" t="str" cm="1">
        <f t="array" ref="A68">IFERROR(IF(INDEX(Informatiebehoefte_NL[Titel],ROW()-2)="","[Automatic]",INDEX(Informatiebehoefte_NL[Titel],ROW()-2)),"[Automatic]")</f>
        <v>[Automatic]</v>
      </c>
      <c r="B68" s="13" t="str" cm="1">
        <f t="array" ref="B68">IFERROR(IF(INDEX(Informatiebehoefte_ENG[Title],ROW()-2)="","[Automatic]",INDEX(Informatiebehoefte_ENG[Title],ROW()-2)),"[Automatic]")</f>
        <v>[Automatic]</v>
      </c>
      <c r="C68" s="43"/>
      <c r="D68" s="43"/>
      <c r="E68" s="43"/>
      <c r="F68" s="43"/>
      <c r="G68" s="43"/>
      <c r="H68" s="43"/>
      <c r="I68" s="43"/>
      <c r="J68" s="43"/>
    </row>
    <row r="69" spans="1:10" x14ac:dyDescent="0.25">
      <c r="A69" s="13" t="str" cm="1">
        <f t="array" ref="A69">IFERROR(IF(INDEX(Informatiebehoefte_NL[Titel],ROW()-2)="","[Automatic]",INDEX(Informatiebehoefte_NL[Titel],ROW()-2)),"[Automatic]")</f>
        <v>[Automatic]</v>
      </c>
      <c r="B69" s="13" t="str" cm="1">
        <f t="array" ref="B69">IFERROR(IF(INDEX(Informatiebehoefte_ENG[Title],ROW()-2)="","[Automatic]",INDEX(Informatiebehoefte_ENG[Title],ROW()-2)),"[Automatic]")</f>
        <v>[Automatic]</v>
      </c>
      <c r="C69" s="43"/>
      <c r="D69" s="43"/>
      <c r="E69" s="43"/>
      <c r="F69" s="43"/>
      <c r="G69" s="43"/>
      <c r="H69" s="43"/>
      <c r="I69" s="43"/>
      <c r="J69" s="43"/>
    </row>
    <row r="70" spans="1:10" x14ac:dyDescent="0.25">
      <c r="A70" s="13" t="str" cm="1">
        <f t="array" ref="A70">IFERROR(IF(INDEX(Informatiebehoefte_NL[Titel],ROW()-2)="","[Automatic]",INDEX(Informatiebehoefte_NL[Titel],ROW()-2)),"[Automatic]")</f>
        <v>[Automatic]</v>
      </c>
      <c r="B70" s="13" t="str" cm="1">
        <f t="array" ref="B70">IFERROR(IF(INDEX(Informatiebehoefte_ENG[Title],ROW()-2)="","[Automatic]",INDEX(Informatiebehoefte_ENG[Title],ROW()-2)),"[Automatic]")</f>
        <v>[Automatic]</v>
      </c>
      <c r="C70" s="43"/>
      <c r="D70" s="43"/>
      <c r="E70" s="43"/>
      <c r="F70" s="43"/>
      <c r="G70" s="43"/>
      <c r="H70" s="43"/>
      <c r="I70" s="43"/>
      <c r="J70" s="43"/>
    </row>
    <row r="71" spans="1:10" x14ac:dyDescent="0.25">
      <c r="A71" s="13" t="str" cm="1">
        <f t="array" ref="A71">IFERROR(IF(INDEX(Informatiebehoefte_NL[Titel],ROW()-2)="","[Automatic]",INDEX(Informatiebehoefte_NL[Titel],ROW()-2)),"[Automatic]")</f>
        <v>[Automatic]</v>
      </c>
      <c r="B71" s="13" t="str" cm="1">
        <f t="array" ref="B71">IFERROR(IF(INDEX(Informatiebehoefte_ENG[Title],ROW()-2)="","[Automatic]",INDEX(Informatiebehoefte_ENG[Title],ROW()-2)),"[Automatic]")</f>
        <v>[Automatic]</v>
      </c>
      <c r="C71" s="43"/>
      <c r="D71" s="43"/>
      <c r="E71" s="43"/>
      <c r="F71" s="43"/>
      <c r="G71" s="43"/>
      <c r="H71" s="43"/>
      <c r="I71" s="43"/>
      <c r="J71" s="43"/>
    </row>
    <row r="72" spans="1:10" x14ac:dyDescent="0.25">
      <c r="A72" s="13" t="str" cm="1">
        <f t="array" ref="A72">IFERROR(IF(INDEX(Informatiebehoefte_NL[Titel],ROW()-2)="","[Automatic]",INDEX(Informatiebehoefte_NL[Titel],ROW()-2)),"[Automatic]")</f>
        <v>[Automatic]</v>
      </c>
      <c r="B72" s="13" t="str" cm="1">
        <f t="array" ref="B72">IFERROR(IF(INDEX(Informatiebehoefte_ENG[Title],ROW()-2)="","[Automatic]",INDEX(Informatiebehoefte_ENG[Title],ROW()-2)),"[Automatic]")</f>
        <v>[Automatic]</v>
      </c>
      <c r="C72" s="43"/>
      <c r="D72" s="43"/>
      <c r="E72" s="43"/>
      <c r="F72" s="43"/>
      <c r="G72" s="43"/>
      <c r="H72" s="43"/>
      <c r="I72" s="43"/>
      <c r="J72" s="43"/>
    </row>
    <row r="73" spans="1:10" x14ac:dyDescent="0.25">
      <c r="A73" s="13" t="str" cm="1">
        <f t="array" ref="A73">IFERROR(IF(INDEX(Informatiebehoefte_NL[Titel],ROW()-2)="","[Automatic]",INDEX(Informatiebehoefte_NL[Titel],ROW()-2)),"[Automatic]")</f>
        <v>[Automatic]</v>
      </c>
      <c r="B73" s="13" t="str" cm="1">
        <f t="array" ref="B73">IFERROR(IF(INDEX(Informatiebehoefte_ENG[Title],ROW()-2)="","[Automatic]",INDEX(Informatiebehoefte_ENG[Title],ROW()-2)),"[Automatic]")</f>
        <v>[Automatic]</v>
      </c>
      <c r="C73" s="43"/>
      <c r="D73" s="43"/>
      <c r="E73" s="43"/>
      <c r="F73" s="43"/>
      <c r="G73" s="43"/>
      <c r="H73" s="43"/>
      <c r="I73" s="43"/>
      <c r="J73" s="43"/>
    </row>
    <row r="74" spans="1:10" x14ac:dyDescent="0.25">
      <c r="A74" s="13" t="str" cm="1">
        <f t="array" ref="A74">IFERROR(IF(INDEX(Informatiebehoefte_NL[Titel],ROW()-2)="","[Automatic]",INDEX(Informatiebehoefte_NL[Titel],ROW()-2)),"[Automatic]")</f>
        <v>[Automatic]</v>
      </c>
      <c r="B74" s="13" t="str" cm="1">
        <f t="array" ref="B74">IFERROR(IF(INDEX(Informatiebehoefte_ENG[Title],ROW()-2)="","[Automatic]",INDEX(Informatiebehoefte_ENG[Title],ROW()-2)),"[Automatic]")</f>
        <v>[Automatic]</v>
      </c>
      <c r="C74" s="43"/>
      <c r="D74" s="43"/>
      <c r="E74" s="43"/>
      <c r="F74" s="43"/>
      <c r="G74" s="43"/>
      <c r="H74" s="43"/>
      <c r="I74" s="43"/>
      <c r="J74" s="43"/>
    </row>
    <row r="75" spans="1:10" x14ac:dyDescent="0.25">
      <c r="A75" s="13" t="str" cm="1">
        <f t="array" ref="A75">IFERROR(IF(INDEX(Informatiebehoefte_NL[Titel],ROW()-2)="","[Automatic]",INDEX(Informatiebehoefte_NL[Titel],ROW()-2)),"[Automatic]")</f>
        <v>[Automatic]</v>
      </c>
      <c r="B75" s="13" t="str" cm="1">
        <f t="array" ref="B75">IFERROR(IF(INDEX(Informatiebehoefte_ENG[Title],ROW()-2)="","[Automatic]",INDEX(Informatiebehoefte_ENG[Title],ROW()-2)),"[Automatic]")</f>
        <v>[Automatic]</v>
      </c>
      <c r="C75" s="43"/>
      <c r="D75" s="43"/>
      <c r="E75" s="43"/>
      <c r="F75" s="43"/>
      <c r="G75" s="43"/>
      <c r="H75" s="43"/>
      <c r="I75" s="43"/>
      <c r="J75" s="43"/>
    </row>
    <row r="76" spans="1:10" x14ac:dyDescent="0.25">
      <c r="A76" s="13" t="str" cm="1">
        <f t="array" ref="A76">IFERROR(IF(INDEX(Informatiebehoefte_NL[Titel],ROW()-2)="","[Automatic]",INDEX(Informatiebehoefte_NL[Titel],ROW()-2)),"[Automatic]")</f>
        <v>[Automatic]</v>
      </c>
      <c r="B76" s="13" t="str" cm="1">
        <f t="array" ref="B76">IFERROR(IF(INDEX(Informatiebehoefte_ENG[Title],ROW()-2)="","[Automatic]",INDEX(Informatiebehoefte_ENG[Title],ROW()-2)),"[Automatic]")</f>
        <v>[Automatic]</v>
      </c>
      <c r="C76" s="43"/>
      <c r="D76" s="43"/>
      <c r="E76" s="43"/>
      <c r="F76" s="43"/>
      <c r="G76" s="43"/>
      <c r="H76" s="43"/>
      <c r="I76" s="43"/>
      <c r="J76" s="43"/>
    </row>
    <row r="77" spans="1:10" x14ac:dyDescent="0.25">
      <c r="A77" s="13" t="str" cm="1">
        <f t="array" ref="A77">IFERROR(IF(INDEX(Informatiebehoefte_NL[Titel],ROW()-2)="","[Automatic]",INDEX(Informatiebehoefte_NL[Titel],ROW()-2)),"[Automatic]")</f>
        <v>[Automatic]</v>
      </c>
      <c r="B77" s="13" t="str" cm="1">
        <f t="array" ref="B77">IFERROR(IF(INDEX(Informatiebehoefte_ENG[Title],ROW()-2)="","[Automatic]",INDEX(Informatiebehoefte_ENG[Title],ROW()-2)),"[Automatic]")</f>
        <v>[Automatic]</v>
      </c>
      <c r="C77" s="43"/>
      <c r="D77" s="43"/>
      <c r="E77" s="43"/>
      <c r="F77" s="43"/>
      <c r="G77" s="43"/>
      <c r="H77" s="43"/>
      <c r="I77" s="43"/>
      <c r="J77" s="43"/>
    </row>
    <row r="78" spans="1:10" x14ac:dyDescent="0.25">
      <c r="A78" s="13" t="str" cm="1">
        <f t="array" ref="A78">IFERROR(IF(INDEX(Informatiebehoefte_NL[Titel],ROW()-2)="","[Automatic]",INDEX(Informatiebehoefte_NL[Titel],ROW()-2)),"[Automatic]")</f>
        <v>[Automatic]</v>
      </c>
      <c r="B78" s="13" t="str" cm="1">
        <f t="array" ref="B78">IFERROR(IF(INDEX(Informatiebehoefte_ENG[Title],ROW()-2)="","[Automatic]",INDEX(Informatiebehoefte_ENG[Title],ROW()-2)),"[Automatic]")</f>
        <v>[Automatic]</v>
      </c>
      <c r="C78" s="43"/>
      <c r="D78" s="43"/>
      <c r="E78" s="43"/>
      <c r="F78" s="43"/>
      <c r="G78" s="43"/>
      <c r="H78" s="43"/>
      <c r="I78" s="43"/>
      <c r="J78" s="43"/>
    </row>
    <row r="79" spans="1:10" x14ac:dyDescent="0.25">
      <c r="A79" s="13" t="str" cm="1">
        <f t="array" ref="A79">IFERROR(IF(INDEX(Informatiebehoefte_NL[Titel],ROW()-2)="","[Automatic]",INDEX(Informatiebehoefte_NL[Titel],ROW()-2)),"[Automatic]")</f>
        <v>[Automatic]</v>
      </c>
      <c r="B79" s="13" t="str" cm="1">
        <f t="array" ref="B79">IFERROR(IF(INDEX(Informatiebehoefte_ENG[Title],ROW()-2)="","[Automatic]",INDEX(Informatiebehoefte_ENG[Title],ROW()-2)),"[Automatic]")</f>
        <v>[Automatic]</v>
      </c>
      <c r="C79" s="43"/>
      <c r="D79" s="43"/>
      <c r="E79" s="43"/>
      <c r="F79" s="43"/>
      <c r="G79" s="43"/>
      <c r="H79" s="43"/>
      <c r="I79" s="43"/>
      <c r="J79" s="43"/>
    </row>
    <row r="80" spans="1:10" x14ac:dyDescent="0.25">
      <c r="A80" s="13" t="str" cm="1">
        <f t="array" ref="A80">IFERROR(IF(INDEX(Informatiebehoefte_NL[Titel],ROW()-2)="","[Automatic]",INDEX(Informatiebehoefte_NL[Titel],ROW()-2)),"[Automatic]")</f>
        <v>[Automatic]</v>
      </c>
      <c r="B80" s="13" t="str" cm="1">
        <f t="array" ref="B80">IFERROR(IF(INDEX(Informatiebehoefte_ENG[Title],ROW()-2)="","[Automatic]",INDEX(Informatiebehoefte_ENG[Title],ROW()-2)),"[Automatic]")</f>
        <v>[Automatic]</v>
      </c>
      <c r="C80" s="43"/>
      <c r="D80" s="43"/>
      <c r="E80" s="43"/>
      <c r="F80" s="43"/>
      <c r="G80" s="43"/>
      <c r="H80" s="43"/>
      <c r="I80" s="43"/>
      <c r="J80" s="43"/>
    </row>
    <row r="81" spans="1:10" x14ac:dyDescent="0.25">
      <c r="A81" s="13" t="str" cm="1">
        <f t="array" ref="A81">IFERROR(IF(INDEX(Informatiebehoefte_NL[Titel],ROW()-2)="","[Automatic]",INDEX(Informatiebehoefte_NL[Titel],ROW()-2)),"[Automatic]")</f>
        <v>[Automatic]</v>
      </c>
      <c r="B81" s="13" t="str" cm="1">
        <f t="array" ref="B81">IFERROR(IF(INDEX(Informatiebehoefte_ENG[Title],ROW()-2)="","[Automatic]",INDEX(Informatiebehoefte_ENG[Title],ROW()-2)),"[Automatic]")</f>
        <v>[Automatic]</v>
      </c>
      <c r="C81" s="43"/>
      <c r="D81" s="43"/>
      <c r="E81" s="43"/>
      <c r="F81" s="43"/>
      <c r="G81" s="43"/>
      <c r="H81" s="43"/>
      <c r="I81" s="43"/>
      <c r="J81" s="43"/>
    </row>
    <row r="82" spans="1:10" x14ac:dyDescent="0.25">
      <c r="A82" s="13" t="str" cm="1">
        <f t="array" ref="A82">IFERROR(IF(INDEX(Informatiebehoefte_NL[Titel],ROW()-2)="","[Automatic]",INDEX(Informatiebehoefte_NL[Titel],ROW()-2)),"[Automatic]")</f>
        <v>[Automatic]</v>
      </c>
      <c r="B82" s="13" t="str" cm="1">
        <f t="array" ref="B82">IFERROR(IF(INDEX(Informatiebehoefte_ENG[Title],ROW()-2)="","[Automatic]",INDEX(Informatiebehoefte_ENG[Title],ROW()-2)),"[Automatic]")</f>
        <v>[Automatic]</v>
      </c>
      <c r="C82" s="43"/>
      <c r="D82" s="43"/>
      <c r="E82" s="43"/>
      <c r="F82" s="43"/>
      <c r="G82" s="43"/>
      <c r="H82" s="43"/>
      <c r="I82" s="43"/>
      <c r="J82" s="43"/>
    </row>
    <row r="83" spans="1:10" x14ac:dyDescent="0.25">
      <c r="A83" s="13" t="str" cm="1">
        <f t="array" ref="A83">IFERROR(IF(INDEX(Informatiebehoefte_NL[Titel],ROW()-2)="","[Automatic]",INDEX(Informatiebehoefte_NL[Titel],ROW()-2)),"[Automatic]")</f>
        <v>[Automatic]</v>
      </c>
      <c r="B83" s="13" t="str" cm="1">
        <f t="array" ref="B83">IFERROR(IF(INDEX(Informatiebehoefte_ENG[Title],ROW()-2)="","[Automatic]",INDEX(Informatiebehoefte_ENG[Title],ROW()-2)),"[Automatic]")</f>
        <v>[Automatic]</v>
      </c>
      <c r="C83" s="43"/>
      <c r="D83" s="43"/>
      <c r="E83" s="43"/>
      <c r="F83" s="43"/>
      <c r="G83" s="43"/>
      <c r="H83" s="43"/>
      <c r="I83" s="43"/>
      <c r="J83" s="43"/>
    </row>
    <row r="84" spans="1:10" x14ac:dyDescent="0.25">
      <c r="A84" s="13" t="str" cm="1">
        <f t="array" ref="A84">IFERROR(IF(INDEX(Informatiebehoefte_NL[Titel],ROW()-2)="","[Automatic]",INDEX(Informatiebehoefte_NL[Titel],ROW()-2)),"[Automatic]")</f>
        <v>[Automatic]</v>
      </c>
      <c r="B84" s="13" t="str" cm="1">
        <f t="array" ref="B84">IFERROR(IF(INDEX(Informatiebehoefte_ENG[Title],ROW()-2)="","[Automatic]",INDEX(Informatiebehoefte_ENG[Title],ROW()-2)),"[Automatic]")</f>
        <v>[Automatic]</v>
      </c>
      <c r="C84" s="43"/>
      <c r="D84" s="43"/>
      <c r="E84" s="43"/>
      <c r="F84" s="43"/>
      <c r="G84" s="43"/>
      <c r="H84" s="43"/>
      <c r="I84" s="43"/>
      <c r="J84" s="43"/>
    </row>
    <row r="85" spans="1:10" x14ac:dyDescent="0.25">
      <c r="A85" s="13" t="str" cm="1">
        <f t="array" ref="A85">IFERROR(IF(INDEX(Informatiebehoefte_NL[Titel],ROW()-2)="","[Automatic]",INDEX(Informatiebehoefte_NL[Titel],ROW()-2)),"[Automatic]")</f>
        <v>[Automatic]</v>
      </c>
      <c r="B85" s="13" t="str" cm="1">
        <f t="array" ref="B85">IFERROR(IF(INDEX(Informatiebehoefte_ENG[Title],ROW()-2)="","[Automatic]",INDEX(Informatiebehoefte_ENG[Title],ROW()-2)),"[Automatic]")</f>
        <v>[Automatic]</v>
      </c>
      <c r="C85" s="43"/>
      <c r="D85" s="43"/>
      <c r="E85" s="43"/>
      <c r="F85" s="43"/>
      <c r="G85" s="43"/>
      <c r="H85" s="43"/>
      <c r="I85" s="43"/>
      <c r="J85" s="43"/>
    </row>
    <row r="86" spans="1:10" x14ac:dyDescent="0.25">
      <c r="A86" s="13" t="str" cm="1">
        <f t="array" ref="A86">IFERROR(IF(INDEX(Informatiebehoefte_NL[Titel],ROW()-2)="","[Automatic]",INDEX(Informatiebehoefte_NL[Titel],ROW()-2)),"[Automatic]")</f>
        <v>[Automatic]</v>
      </c>
      <c r="B86" s="13" t="str" cm="1">
        <f t="array" ref="B86">IFERROR(IF(INDEX(Informatiebehoefte_ENG[Title],ROW()-2)="","[Automatic]",INDEX(Informatiebehoefte_ENG[Title],ROW()-2)),"[Automatic]")</f>
        <v>[Automatic]</v>
      </c>
      <c r="C86" s="43"/>
      <c r="D86" s="43"/>
      <c r="E86" s="43"/>
      <c r="F86" s="43"/>
      <c r="G86" s="43"/>
      <c r="H86" s="43"/>
      <c r="I86" s="43"/>
      <c r="J86" s="43"/>
    </row>
    <row r="87" spans="1:10" x14ac:dyDescent="0.25">
      <c r="A87" s="13" t="str" cm="1">
        <f t="array" ref="A87">IFERROR(IF(INDEX(Informatiebehoefte_NL[Titel],ROW()-2)="","[Automatic]",INDEX(Informatiebehoefte_NL[Titel],ROW()-2)),"[Automatic]")</f>
        <v>[Automatic]</v>
      </c>
      <c r="B87" s="13" t="str" cm="1">
        <f t="array" ref="B87">IFERROR(IF(INDEX(Informatiebehoefte_ENG[Title],ROW()-2)="","[Automatic]",INDEX(Informatiebehoefte_ENG[Title],ROW()-2)),"[Automatic]")</f>
        <v>[Automatic]</v>
      </c>
      <c r="C87" s="43"/>
      <c r="D87" s="43"/>
      <c r="E87" s="43"/>
      <c r="F87" s="43"/>
      <c r="G87" s="43"/>
      <c r="H87" s="43"/>
      <c r="I87" s="43"/>
      <c r="J87" s="43"/>
    </row>
    <row r="88" spans="1:10" x14ac:dyDescent="0.25">
      <c r="A88" s="13" t="str" cm="1">
        <f t="array" ref="A88">IFERROR(IF(INDEX(Informatiebehoefte_NL[Titel],ROW()-2)="","[Automatic]",INDEX(Informatiebehoefte_NL[Titel],ROW()-2)),"[Automatic]")</f>
        <v>[Automatic]</v>
      </c>
      <c r="B88" s="13" t="str" cm="1">
        <f t="array" ref="B88">IFERROR(IF(INDEX(Informatiebehoefte_ENG[Title],ROW()-2)="","[Automatic]",INDEX(Informatiebehoefte_ENG[Title],ROW()-2)),"[Automatic]")</f>
        <v>[Automatic]</v>
      </c>
      <c r="C88" s="43"/>
      <c r="D88" s="43"/>
      <c r="E88" s="43"/>
      <c r="F88" s="43"/>
      <c r="G88" s="43"/>
      <c r="H88" s="43"/>
      <c r="I88" s="43"/>
      <c r="J88" s="43"/>
    </row>
    <row r="89" spans="1:10" x14ac:dyDescent="0.25">
      <c r="A89" s="13" t="str" cm="1">
        <f t="array" ref="A89">IFERROR(IF(INDEX(Informatiebehoefte_NL[Titel],ROW()-2)="","[Automatic]",INDEX(Informatiebehoefte_NL[Titel],ROW()-2)),"[Automatic]")</f>
        <v>[Automatic]</v>
      </c>
      <c r="B89" s="13" t="str" cm="1">
        <f t="array" ref="B89">IFERROR(IF(INDEX(Informatiebehoefte_ENG[Title],ROW()-2)="","[Automatic]",INDEX(Informatiebehoefte_ENG[Title],ROW()-2)),"[Automatic]")</f>
        <v>[Automatic]</v>
      </c>
      <c r="C89" s="43"/>
      <c r="D89" s="43"/>
      <c r="E89" s="43"/>
      <c r="F89" s="43"/>
      <c r="G89" s="43"/>
      <c r="H89" s="43"/>
      <c r="I89" s="43"/>
      <c r="J89" s="43"/>
    </row>
    <row r="90" spans="1:10" x14ac:dyDescent="0.25">
      <c r="A90" s="13" t="str" cm="1">
        <f t="array" ref="A90">IFERROR(IF(INDEX(Informatiebehoefte_NL[Titel],ROW()-2)="","[Automatic]",INDEX(Informatiebehoefte_NL[Titel],ROW()-2)),"[Automatic]")</f>
        <v>[Automatic]</v>
      </c>
      <c r="B90" s="13" t="str" cm="1">
        <f t="array" ref="B90">IFERROR(IF(INDEX(Informatiebehoefte_ENG[Title],ROW()-2)="","[Automatic]",INDEX(Informatiebehoefte_ENG[Title],ROW()-2)),"[Automatic]")</f>
        <v>[Automatic]</v>
      </c>
      <c r="C90" s="43"/>
      <c r="D90" s="43"/>
      <c r="E90" s="43"/>
      <c r="F90" s="43"/>
      <c r="G90" s="43"/>
      <c r="H90" s="43"/>
      <c r="I90" s="43"/>
      <c r="J90" s="43"/>
    </row>
    <row r="91" spans="1:10" x14ac:dyDescent="0.25">
      <c r="A91" s="13" t="str" cm="1">
        <f t="array" ref="A91">IFERROR(IF(INDEX(Informatiebehoefte_NL[Titel],ROW()-2)="","[Automatic]",INDEX(Informatiebehoefte_NL[Titel],ROW()-2)),"[Automatic]")</f>
        <v>[Automatic]</v>
      </c>
      <c r="B91" s="13" t="str" cm="1">
        <f t="array" ref="B91">IFERROR(IF(INDEX(Informatiebehoefte_ENG[Title],ROW()-2)="","[Automatic]",INDEX(Informatiebehoefte_ENG[Title],ROW()-2)),"[Automatic]")</f>
        <v>[Automatic]</v>
      </c>
      <c r="C91" s="43"/>
      <c r="D91" s="43"/>
      <c r="E91" s="43"/>
      <c r="F91" s="43"/>
      <c r="G91" s="43"/>
      <c r="H91" s="43"/>
      <c r="I91" s="43"/>
      <c r="J91" s="43"/>
    </row>
    <row r="92" spans="1:10" x14ac:dyDescent="0.25">
      <c r="A92" s="13" t="str" cm="1">
        <f t="array" ref="A92">IFERROR(IF(INDEX(Informatiebehoefte_NL[Titel],ROW()-2)="","[Automatic]",INDEX(Informatiebehoefte_NL[Titel],ROW()-2)),"[Automatic]")</f>
        <v>[Automatic]</v>
      </c>
      <c r="B92" s="13" t="str" cm="1">
        <f t="array" ref="B92">IFERROR(IF(INDEX(Informatiebehoefte_ENG[Title],ROW()-2)="","[Automatic]",INDEX(Informatiebehoefte_ENG[Title],ROW()-2)),"[Automatic]")</f>
        <v>[Automatic]</v>
      </c>
      <c r="C92" s="43"/>
      <c r="D92" s="43"/>
      <c r="E92" s="43"/>
      <c r="F92" s="43"/>
      <c r="G92" s="43"/>
      <c r="H92" s="43"/>
      <c r="I92" s="43"/>
      <c r="J92" s="43"/>
    </row>
    <row r="93" spans="1:10" x14ac:dyDescent="0.25">
      <c r="A93" s="13" t="str" cm="1">
        <f t="array" ref="A93">IFERROR(IF(INDEX(Informatiebehoefte_NL[Titel],ROW()-2)="","[Automatic]",INDEX(Informatiebehoefte_NL[Titel],ROW()-2)),"[Automatic]")</f>
        <v>[Automatic]</v>
      </c>
      <c r="B93" s="13" t="str" cm="1">
        <f t="array" ref="B93">IFERROR(IF(INDEX(Informatiebehoefte_ENG[Title],ROW()-2)="","[Automatic]",INDEX(Informatiebehoefte_ENG[Title],ROW()-2)),"[Automatic]")</f>
        <v>[Automatic]</v>
      </c>
      <c r="C93" s="43"/>
      <c r="D93" s="43"/>
      <c r="E93" s="43"/>
      <c r="F93" s="43"/>
      <c r="G93" s="43"/>
      <c r="H93" s="43"/>
      <c r="I93" s="43"/>
      <c r="J93" s="43"/>
    </row>
    <row r="94" spans="1:10" x14ac:dyDescent="0.25">
      <c r="A94" s="13" t="str" cm="1">
        <f t="array" ref="A94">IFERROR(IF(INDEX(Informatiebehoefte_NL[Titel],ROW()-2)="","[Automatic]",INDEX(Informatiebehoefte_NL[Titel],ROW()-2)),"[Automatic]")</f>
        <v>[Automatic]</v>
      </c>
      <c r="B94" s="13" t="str" cm="1">
        <f t="array" ref="B94">IFERROR(IF(INDEX(Informatiebehoefte_ENG[Title],ROW()-2)="","[Automatic]",INDEX(Informatiebehoefte_ENG[Title],ROW()-2)),"[Automatic]")</f>
        <v>[Automatic]</v>
      </c>
      <c r="C94" s="43"/>
      <c r="D94" s="43"/>
      <c r="E94" s="43"/>
      <c r="F94" s="43"/>
      <c r="G94" s="43"/>
      <c r="H94" s="43"/>
      <c r="I94" s="43"/>
      <c r="J94" s="43"/>
    </row>
    <row r="95" spans="1:10" x14ac:dyDescent="0.25">
      <c r="A95" s="13" t="str" cm="1">
        <f t="array" ref="A95">IFERROR(IF(INDEX(Informatiebehoefte_NL[Titel],ROW()-2)="","[Automatic]",INDEX(Informatiebehoefte_NL[Titel],ROW()-2)),"[Automatic]")</f>
        <v>[Automatic]</v>
      </c>
      <c r="B95" s="13" t="str" cm="1">
        <f t="array" ref="B95">IFERROR(IF(INDEX(Informatiebehoefte_ENG[Title],ROW()-2)="","[Automatic]",INDEX(Informatiebehoefte_ENG[Title],ROW()-2)),"[Automatic]")</f>
        <v>[Automatic]</v>
      </c>
      <c r="C95" s="43"/>
      <c r="D95" s="43"/>
      <c r="E95" s="43"/>
      <c r="F95" s="43"/>
      <c r="G95" s="43"/>
      <c r="H95" s="43"/>
      <c r="I95" s="43"/>
      <c r="J95" s="43"/>
    </row>
    <row r="96" spans="1:10" x14ac:dyDescent="0.25">
      <c r="A96" s="13" t="str" cm="1">
        <f t="array" ref="A96">IFERROR(IF(INDEX(Informatiebehoefte_NL[Titel],ROW()-2)="","[Automatic]",INDEX(Informatiebehoefte_NL[Titel],ROW()-2)),"[Automatic]")</f>
        <v>[Automatic]</v>
      </c>
      <c r="B96" s="13" t="str" cm="1">
        <f t="array" ref="B96">IFERROR(IF(INDEX(Informatiebehoefte_ENG[Title],ROW()-2)="","[Automatic]",INDEX(Informatiebehoefte_ENG[Title],ROW()-2)),"[Automatic]")</f>
        <v>[Automatic]</v>
      </c>
      <c r="C96" s="43"/>
      <c r="D96" s="43"/>
      <c r="E96" s="43"/>
      <c r="F96" s="43"/>
      <c r="G96" s="43"/>
      <c r="H96" s="43"/>
      <c r="I96" s="43"/>
      <c r="J96" s="43"/>
    </row>
    <row r="97" spans="1:10" x14ac:dyDescent="0.25">
      <c r="A97" s="13" t="str" cm="1">
        <f t="array" ref="A97">IFERROR(IF(INDEX(Informatiebehoefte_NL[Titel],ROW()-2)="","[Automatic]",INDEX(Informatiebehoefte_NL[Titel],ROW()-2)),"[Automatic]")</f>
        <v>[Automatic]</v>
      </c>
      <c r="B97" s="13" t="str" cm="1">
        <f t="array" ref="B97">IFERROR(IF(INDEX(Informatiebehoefte_ENG[Title],ROW()-2)="","[Automatic]",INDEX(Informatiebehoefte_ENG[Title],ROW()-2)),"[Automatic]")</f>
        <v>[Automatic]</v>
      </c>
      <c r="C97" s="43"/>
      <c r="D97" s="43"/>
      <c r="E97" s="43"/>
      <c r="F97" s="43"/>
      <c r="G97" s="43"/>
      <c r="H97" s="43"/>
      <c r="I97" s="43"/>
      <c r="J97" s="43"/>
    </row>
    <row r="98" spans="1:10" x14ac:dyDescent="0.25">
      <c r="A98" s="13" t="str" cm="1">
        <f t="array" ref="A98">IFERROR(IF(INDEX(Informatiebehoefte_NL[Titel],ROW()-2)="","[Automatic]",INDEX(Informatiebehoefte_NL[Titel],ROW()-2)),"[Automatic]")</f>
        <v>[Automatic]</v>
      </c>
      <c r="B98" s="13" t="str" cm="1">
        <f t="array" ref="B98">IFERROR(IF(INDEX(Informatiebehoefte_ENG[Title],ROW()-2)="","[Automatic]",INDEX(Informatiebehoefte_ENG[Title],ROW()-2)),"[Automatic]")</f>
        <v>[Automatic]</v>
      </c>
      <c r="C98" s="43"/>
      <c r="D98" s="43"/>
      <c r="E98" s="43"/>
      <c r="F98" s="43"/>
      <c r="G98" s="43"/>
      <c r="H98" s="43"/>
      <c r="I98" s="43"/>
      <c r="J98" s="43"/>
    </row>
    <row r="99" spans="1:10" x14ac:dyDescent="0.25">
      <c r="A99" s="13" t="str" cm="1">
        <f t="array" ref="A99">IFERROR(IF(INDEX(Informatiebehoefte_NL[Titel],ROW()-2)="","[Automatic]",INDEX(Informatiebehoefte_NL[Titel],ROW()-2)),"[Automatic]")</f>
        <v>[Automatic]</v>
      </c>
      <c r="B99" s="13" t="str" cm="1">
        <f t="array" ref="B99">IFERROR(IF(INDEX(Informatiebehoefte_ENG[Title],ROW()-2)="","[Automatic]",INDEX(Informatiebehoefte_ENG[Title],ROW()-2)),"[Automatic]")</f>
        <v>[Automatic]</v>
      </c>
      <c r="C99" s="43"/>
      <c r="D99" s="43"/>
      <c r="E99" s="43"/>
      <c r="F99" s="43"/>
      <c r="G99" s="43"/>
      <c r="H99" s="43"/>
      <c r="I99" s="43"/>
      <c r="J99" s="43"/>
    </row>
    <row r="100" spans="1:10" x14ac:dyDescent="0.25">
      <c r="A100" s="13" t="str" cm="1">
        <f t="array" ref="A100">IFERROR(IF(INDEX(Informatiebehoefte_NL[Titel],ROW()-2)="","[Automatic]",INDEX(Informatiebehoefte_NL[Titel],ROW()-2)),"[Automatic]")</f>
        <v>[Automatic]</v>
      </c>
      <c r="B100" s="13" t="str" cm="1">
        <f t="array" ref="B100">IFERROR(IF(INDEX(Informatiebehoefte_ENG[Title],ROW()-2)="","[Automatic]",INDEX(Informatiebehoefte_ENG[Title],ROW()-2)),"[Automatic]")</f>
        <v>[Automatic]</v>
      </c>
      <c r="C100" s="43"/>
      <c r="D100" s="43"/>
      <c r="E100" s="43"/>
      <c r="F100" s="43"/>
      <c r="G100" s="43"/>
      <c r="H100" s="43"/>
      <c r="I100" s="43"/>
      <c r="J100" s="43"/>
    </row>
    <row r="101" spans="1:10" x14ac:dyDescent="0.25">
      <c r="A101" s="13" t="str" cm="1">
        <f t="array" ref="A101">IFERROR(IF(INDEX(Informatiebehoefte_NL[Titel],ROW()-2)="","[Automatic]",INDEX(Informatiebehoefte_NL[Titel],ROW()-2)),"[Automatic]")</f>
        <v>[Automatic]</v>
      </c>
      <c r="B101" s="13" t="str" cm="1">
        <f t="array" ref="B101">IFERROR(IF(INDEX(Informatiebehoefte_ENG[Title],ROW()-2)="","[Automatic]",INDEX(Informatiebehoefte_ENG[Title],ROW()-2)),"[Automatic]")</f>
        <v>[Automatic]</v>
      </c>
      <c r="C101" s="43"/>
      <c r="D101" s="43"/>
      <c r="E101" s="43"/>
      <c r="F101" s="43"/>
      <c r="G101" s="43"/>
      <c r="H101" s="43"/>
      <c r="I101" s="43"/>
      <c r="J101" s="43"/>
    </row>
  </sheetData>
  <sheetProtection insertColumns="0" insertRows="0" insertHyperlinks="0" deleteColumns="0" deleteRows="0"/>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B94D0-72A2-4493-8712-6059997E5279}">
  <sheetPr codeName="Blad8">
    <tabColor rgb="FFC724B1"/>
  </sheetPr>
  <dimension ref="A1:B7"/>
  <sheetViews>
    <sheetView workbookViewId="0">
      <pane xSplit="1" ySplit="2" topLeftCell="B3" activePane="bottomRight" state="frozen"/>
      <selection pane="topRight" activeCell="B1" sqref="B1"/>
      <selection pane="bottomLeft" activeCell="A3" sqref="A3"/>
      <selection pane="bottomRight" activeCell="B14" sqref="B14"/>
    </sheetView>
  </sheetViews>
  <sheetFormatPr defaultColWidth="8.85546875" defaultRowHeight="15" x14ac:dyDescent="0.25"/>
  <cols>
    <col min="1" max="1" width="36.42578125" customWidth="1"/>
    <col min="2" max="2" width="105.7109375" customWidth="1"/>
  </cols>
  <sheetData>
    <row r="1" spans="1:2" ht="141" customHeight="1" x14ac:dyDescent="0.25"/>
    <row r="2" spans="1:2" hidden="1" x14ac:dyDescent="0.25">
      <c r="A2" t="s">
        <v>0</v>
      </c>
      <c r="B2" t="s">
        <v>1</v>
      </c>
    </row>
    <row r="3" spans="1:2" x14ac:dyDescent="0.25">
      <c r="A3" s="11" t="s">
        <v>61</v>
      </c>
    </row>
    <row r="4" spans="1:2" x14ac:dyDescent="0.25">
      <c r="A4" s="11" t="s">
        <v>62</v>
      </c>
    </row>
    <row r="6" spans="1:2" hidden="1" x14ac:dyDescent="0.25">
      <c r="A6" s="49" t="s">
        <v>0</v>
      </c>
      <c r="B6" s="52" t="s">
        <v>1</v>
      </c>
    </row>
    <row r="7" spans="1:2" x14ac:dyDescent="0.25">
      <c r="A7" s="50" t="s">
        <v>63</v>
      </c>
      <c r="B7" s="51"/>
    </row>
  </sheetData>
  <pageMargins left="0.7" right="0.7" top="0.75" bottom="0.75" header="0.3" footer="0.3"/>
  <pageSetup paperSize="9" orientation="portrait" r:id="rId1"/>
  <tableParts count="2">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893F3-643A-4B1C-BD8A-6176E3582436}">
  <sheetPr codeName="Blad9">
    <tabColor rgb="FFC724B1"/>
  </sheetPr>
  <dimension ref="A1:B7"/>
  <sheetViews>
    <sheetView workbookViewId="0">
      <pane xSplit="1" ySplit="2" topLeftCell="B3" activePane="bottomRight" state="frozen"/>
      <selection pane="topRight" activeCell="B1" sqref="B1"/>
      <selection pane="bottomLeft" activeCell="A3" sqref="A3"/>
      <selection pane="bottomRight" activeCell="B7" sqref="B7"/>
    </sheetView>
  </sheetViews>
  <sheetFormatPr defaultColWidth="9.140625" defaultRowHeight="15" x14ac:dyDescent="0.25"/>
  <cols>
    <col min="1" max="1" width="36.42578125" style="24" customWidth="1"/>
    <col min="2" max="2" width="105.7109375" style="24" customWidth="1"/>
    <col min="3" max="16384" width="9.140625" style="24"/>
  </cols>
  <sheetData>
    <row r="1" spans="1:2" ht="141" customHeight="1" x14ac:dyDescent="0.25"/>
    <row r="2" spans="1:2" hidden="1" x14ac:dyDescent="0.25">
      <c r="A2" s="24" t="s">
        <v>12</v>
      </c>
      <c r="B2" s="24" t="s">
        <v>13</v>
      </c>
    </row>
    <row r="3" spans="1:2" x14ac:dyDescent="0.25">
      <c r="A3" s="44" t="s">
        <v>64</v>
      </c>
      <c r="B3" s="45" t="str" cm="1">
        <f t="array" ref="B3">IFERROR(IF(INDEX(Basismodel_NL[Invulling],ROW()-2)="","[Automatic]",INDEX(Basismodel_NL[Invulling],ROW()-2)),"[Automatic]")</f>
        <v>[Automatic]</v>
      </c>
    </row>
    <row r="4" spans="1:2" x14ac:dyDescent="0.25">
      <c r="A4" s="44" t="s">
        <v>65</v>
      </c>
      <c r="B4" s="45" t="str" cm="1">
        <f t="array" ref="B4">IFERROR(IF(INDEX(Basismodel_NL[Invulling],ROW()-2)="","[Automatic]",INDEX(Basismodel_NL[Invulling],ROW()-2)),"[Automatic]")</f>
        <v>[Automatic]</v>
      </c>
    </row>
    <row r="6" spans="1:2" hidden="1" x14ac:dyDescent="0.25">
      <c r="A6" s="53" t="s">
        <v>12</v>
      </c>
      <c r="B6" s="58" t="s">
        <v>13</v>
      </c>
    </row>
    <row r="7" spans="1:2" x14ac:dyDescent="0.25">
      <c r="A7" s="54" t="s">
        <v>66</v>
      </c>
      <c r="B7" s="59"/>
    </row>
  </sheetData>
  <sheetProtection insertRows="0" insertHyperlinks="0"/>
  <pageMargins left="0.7" right="0.7" top="0.75" bottom="0.75" header="0.3" footer="0.3"/>
  <pageSetup paperSize="9" orientation="portrait"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0B483-8C84-4752-AFA6-C2A9C85962B8}">
  <sheetPr codeName="Blad10"/>
  <dimension ref="A2:B16"/>
  <sheetViews>
    <sheetView workbookViewId="0">
      <selection activeCell="A15" sqref="A15"/>
    </sheetView>
  </sheetViews>
  <sheetFormatPr defaultColWidth="8.85546875" defaultRowHeight="15" x14ac:dyDescent="0.25"/>
  <cols>
    <col min="1" max="1" width="49.42578125" customWidth="1"/>
    <col min="2" max="2" width="47" customWidth="1"/>
  </cols>
  <sheetData>
    <row r="2" spans="1:2" x14ac:dyDescent="0.25">
      <c r="A2" s="60" t="s">
        <v>31</v>
      </c>
      <c r="B2" s="60" t="s">
        <v>42</v>
      </c>
    </row>
    <row r="3" spans="1:2" x14ac:dyDescent="0.25">
      <c r="A3" t="s">
        <v>67</v>
      </c>
      <c r="B3" t="s">
        <v>68</v>
      </c>
    </row>
    <row r="4" spans="1:2" x14ac:dyDescent="0.25">
      <c r="A4" t="s">
        <v>69</v>
      </c>
      <c r="B4" t="s">
        <v>70</v>
      </c>
    </row>
    <row r="9" spans="1:2" x14ac:dyDescent="0.25">
      <c r="A9" s="60" t="s">
        <v>71</v>
      </c>
      <c r="B9" s="60" t="s">
        <v>43</v>
      </c>
    </row>
    <row r="10" spans="1:2" x14ac:dyDescent="0.25">
      <c r="A10" t="s">
        <v>72</v>
      </c>
      <c r="B10" t="s">
        <v>73</v>
      </c>
    </row>
    <row r="11" spans="1:2" x14ac:dyDescent="0.25">
      <c r="A11" t="s">
        <v>74</v>
      </c>
      <c r="B11" t="s">
        <v>75</v>
      </c>
    </row>
    <row r="14" spans="1:2" x14ac:dyDescent="0.25">
      <c r="A14" s="60" t="s">
        <v>24</v>
      </c>
    </row>
    <row r="15" spans="1:2" x14ac:dyDescent="0.25">
      <c r="A15" t="s">
        <v>76</v>
      </c>
    </row>
    <row r="16" spans="1:2" x14ac:dyDescent="0.25">
      <c r="A16" t="s">
        <v>77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5656983173B1142A9B62A9C329F89A7" ma:contentTypeVersion="13" ma:contentTypeDescription="Een nieuw document maken." ma:contentTypeScope="" ma:versionID="71caa5f225d89a4181f0614974a0635b">
  <xsd:schema xmlns:xsd="http://www.w3.org/2001/XMLSchema" xmlns:xs="http://www.w3.org/2001/XMLSchema" xmlns:p="http://schemas.microsoft.com/office/2006/metadata/properties" xmlns:ns2="bb18a1b9-ddba-4244-9634-64732d0cb267" xmlns:ns3="06294a2e-6f87-4144-83b8-94a4d04d144a" targetNamespace="http://schemas.microsoft.com/office/2006/metadata/properties" ma:root="true" ma:fieldsID="d74eef483bec37fcdf125766e7bdb283" ns2:_="" ns3:_="">
    <xsd:import namespace="bb18a1b9-ddba-4244-9634-64732d0cb267"/>
    <xsd:import namespace="06294a2e-6f87-4144-83b8-94a4d04d144a"/>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b18a1b9-ddba-4244-9634-64732d0cb2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Afbeeldingtags" ma:readOnly="false" ma:fieldId="{5cf76f15-5ced-4ddc-b409-7134ff3c332f}" ma:taxonomyMulti="true" ma:sspId="f43266b8-366f-4d62-94a9-0cd8017ad054"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Location" ma:index="20"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6294a2e-6f87-4144-83b8-94a4d04d144a"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9376912-b2eb-4b01-bc9b-4099e978a14b}" ma:internalName="TaxCatchAll" ma:showField="CatchAllData" ma:web="06294a2e-6f87-4144-83b8-94a4d04d144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b18a1b9-ddba-4244-9634-64732d0cb267">
      <Terms xmlns="http://schemas.microsoft.com/office/infopath/2007/PartnerControls"/>
    </lcf76f155ced4ddcb4097134ff3c332f>
    <TaxCatchAll xmlns="06294a2e-6f87-4144-83b8-94a4d04d144a" xsi:nil="true"/>
  </documentManagement>
</p:properties>
</file>

<file path=customXml/itemProps1.xml><?xml version="1.0" encoding="utf-8"?>
<ds:datastoreItem xmlns:ds="http://schemas.openxmlformats.org/officeDocument/2006/customXml" ds:itemID="{14B9AD58-A794-48C7-986D-80A9DB4B320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b18a1b9-ddba-4244-9634-64732d0cb267"/>
    <ds:schemaRef ds:uri="06294a2e-6f87-4144-83b8-94a4d04d144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48267B0-4CF5-48A7-B543-CDE45AF0A8FC}">
  <ds:schemaRefs>
    <ds:schemaRef ds:uri="http://schemas.microsoft.com/sharepoint/v3/contenttype/forms"/>
  </ds:schemaRefs>
</ds:datastoreItem>
</file>

<file path=customXml/itemProps3.xml><?xml version="1.0" encoding="utf-8"?>
<ds:datastoreItem xmlns:ds="http://schemas.openxmlformats.org/officeDocument/2006/customXml" ds:itemID="{6E3A9028-3436-4B29-A420-9ED5B8A085B1}">
  <ds:schemaRefs>
    <ds:schemaRef ds:uri="http://schemas.microsoft.com/office/2006/metadata/properties"/>
    <ds:schemaRef ds:uri="http://schemas.microsoft.com/office/infopath/2007/PartnerControls"/>
    <ds:schemaRef ds:uri="bb18a1b9-ddba-4244-9634-64732d0cb267"/>
    <ds:schemaRef ds:uri="06294a2e-6f87-4144-83b8-94a4d04d144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Uitleg</vt:lpstr>
      <vt:lpstr>Concept</vt:lpstr>
      <vt:lpstr>Concept (ENG)</vt:lpstr>
      <vt:lpstr>Informatie-requirements</vt:lpstr>
      <vt:lpstr>Information requirements (ENG)</vt:lpstr>
      <vt:lpstr>Bronnen</vt:lpstr>
      <vt:lpstr>Traceability matrix</vt:lpstr>
      <vt:lpstr>Overwegingen kiezen basismodel</vt:lpstr>
      <vt:lpstr>Base model considerations (ENG)</vt:lpstr>
      <vt:lpstr>Drop down menu's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Edelman</dc:creator>
  <cp:keywords/>
  <dc:description/>
  <cp:lastModifiedBy>Pieter Edelman</cp:lastModifiedBy>
  <cp:revision/>
  <dcterms:created xsi:type="dcterms:W3CDTF">2026-03-12T13:25:44Z</dcterms:created>
  <dcterms:modified xsi:type="dcterms:W3CDTF">2026-10-16T14:55:09Z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0x010100D5656983173B1142A9B62A9C329F89A7</vt:lpwstr>
  </property>
</Properties>
</file>