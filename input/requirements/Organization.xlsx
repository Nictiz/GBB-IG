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Organization/"/>
    </mc:Choice>
  </mc:AlternateContent>
  <xr:revisionPtr revIDLastSave="714" documentId="8_{14C11024-DAA1-4BC8-A0C0-1702803526E6}" xr6:coauthVersionLast="47" xr6:coauthVersionMax="47" xr10:uidLastSave="{C1ABF9D3-352C-42C2-B6E8-5C0A7CA1CFEE}"/>
  <bookViews>
    <workbookView xWindow="-108" yWindow="-108" windowWidth="23256" windowHeight="13896" tabRatio="553" firstSheet="3" activeTab="6" xr2:uid="{71855D19-E937-4D4D-85D2-5BCEBB780255}"/>
  </bookViews>
  <sheets>
    <sheet name="Uitleg" sheetId="5" r:id="rId1"/>
    <sheet name="Concept" sheetId="2" r:id="rId2"/>
    <sheet name="Bronnen" sheetId="7" r:id="rId3"/>
    <sheet name="Informatiebehoefte" sheetId="1" r:id="rId4"/>
    <sheet name="Ongedekte informatiebehoefte" sheetId="3" r:id="rId5"/>
    <sheet name="Overwegingen voor de toekomst" sheetId="4" r:id="rId6"/>
    <sheet name="Ter discussie" sheetId="6"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alcChain>
</file>

<file path=xl/sharedStrings.xml><?xml version="1.0" encoding="utf-8"?>
<sst xmlns="http://schemas.openxmlformats.org/spreadsheetml/2006/main" count="182" uniqueCount="146">
  <si>
    <t>Veld</t>
  </si>
  <si>
    <t>Beschrijving</t>
  </si>
  <si>
    <t>Conceptbeschrijving</t>
  </si>
  <si>
    <t>Een formeel of informeel erkende groep van personen of organisaties die is opgericht met het doel een of andere vorm van collectieve actie te ondernemen.</t>
  </si>
  <si>
    <t>Doel</t>
  </si>
  <si>
    <t>De organisatie kan worden opgenomen in een gezamenlijk register met contactgegevens en andere informatie voor diverse organisaties, of kan louter dienen als ondersteuning voor andere bronnen die naar organisaties moeten verwijzen, bijvoorbeeld in de vorm van een document, een bericht of een bijgevoegde FHIR-resource.</t>
  </si>
  <si>
    <t>Gebruiksscenario(’s)</t>
  </si>
  <si>
    <t xml:space="preserve">Patiëntadministratie </t>
  </si>
  <si>
    <t>Representatie</t>
  </si>
  <si>
    <t>x</t>
  </si>
  <si>
    <t>Alias(sen)</t>
  </si>
  <si>
    <t>Verzekeraar, Afdeling, Zorgorganisatie</t>
  </si>
  <si>
    <t>Juist gebruik</t>
  </si>
  <si>
    <t>Bijvoorbeeld:
bedrijven
instellingen
ondernemingen
afdelingen
buurtgroepen
groepen van zorgverleners
betalers/verzekeraars</t>
  </si>
  <si>
    <t>Onjuist gebruik</t>
  </si>
  <si>
    <t>Niet gebruikt  voor vastleggen van specifieke (fysieke) locaties van zorgorganisaties</t>
  </si>
  <si>
    <t>Referenties</t>
  </si>
  <si>
    <t>Zie tabblad Bronnen</t>
  </si>
  <si>
    <t>ART-DECOR-id</t>
  </si>
  <si>
    <t>2.16.840.1.113883.2.4.3.11.60.153.4.20/2026-06-24T00:00:00</t>
  </si>
  <si>
    <t>type bron</t>
  </si>
  <si>
    <t>link</t>
  </si>
  <si>
    <t>aantekeningen</t>
  </si>
  <si>
    <t>zibs.nl</t>
  </si>
  <si>
    <t>https://zibs.nl/wiki/Zorgaanbieder-v3.4(2020NL)</t>
  </si>
  <si>
    <t>openEHR</t>
  </si>
  <si>
    <t>https://ckm.openehr.org/ckm/archetypes/1013.1.371/mindmap</t>
  </si>
  <si>
    <t>FHIR R4 base</t>
  </si>
  <si>
    <t>https://hl7.org/fhir/R4/organization.html</t>
  </si>
  <si>
    <t>1.0.3-versie, heeft o.a. parent organisation en contactperson</t>
  </si>
  <si>
    <t>zib-profiel</t>
  </si>
  <si>
    <t>https://simplifier.net/nictiz-r4-zib2020/zibhealthcareproviderorganization</t>
  </si>
  <si>
    <t>NL-core-R4</t>
  </si>
  <si>
    <t>https://simplifier.net/nictiz-r4-zib2020/nlcorehealthcareproviderorganization</t>
  </si>
  <si>
    <t>Xt-EHR LIM</t>
  </si>
  <si>
    <t>https://www.xt-ehr.eu/fhir/models/en/StructureDefinition-EHDSOrganisation.html</t>
  </si>
  <si>
    <t>EHDS FHIR</t>
  </si>
  <si>
    <t>https://hl7.eu/fhir/base/StructureDefinition-organization-eu-core.html</t>
  </si>
  <si>
    <t>mapping xt-EHR --&gt; FHIR</t>
  </si>
  <si>
    <t>https://hl7.eu/fhir/base/map-ehdsorganisation.html</t>
  </si>
  <si>
    <t>zib-issues</t>
  </si>
  <si>
    <t>Spoedsamenvatting</t>
  </si>
  <si>
    <t>https://decor.nictiz.nl/ad/#/acutezorg-/rules/templates/2.16.840.1.113883.2.4.3.11.60.66.10.77/2022-03-30T00:00:00</t>
  </si>
  <si>
    <t>Nummer</t>
  </si>
  <si>
    <t>Naam</t>
  </si>
  <si>
    <t>Omschrijving</t>
  </si>
  <si>
    <t>Variabiliteit</t>
  </si>
  <si>
    <t>Aanwezigheid</t>
  </si>
  <si>
    <t>Verleden/heden/toekomst</t>
  </si>
  <si>
    <t>Herkomst</t>
  </si>
  <si>
    <t>Opmerkingen</t>
  </si>
  <si>
    <t>EU filter</t>
  </si>
  <si>
    <t>ORG-001</t>
  </si>
  <si>
    <t>Identifier</t>
  </si>
  <si>
    <t xml:space="preserve">The organization’s identification number. </t>
  </si>
  <si>
    <t>(identifier)</t>
  </si>
  <si>
    <t>0..*</t>
  </si>
  <si>
    <t>EHDSOrganization</t>
  </si>
  <si>
    <t>ORG-002</t>
  </si>
  <si>
    <t>(identifier)
SHOULD For Dutch healthcare providers, the URA number or the AGB number is used, if possible.</t>
  </si>
  <si>
    <t>Zib2020, Spoedsamenvatting 2.2.0, BgZ-MSZ 2.0</t>
  </si>
  <si>
    <t>ORG-003</t>
  </si>
  <si>
    <t>OrganizationType</t>
  </si>
  <si>
    <t xml:space="preserve">The type of healthcare provider, such as general hospital, or nursing home. </t>
  </si>
  <si>
    <t>(coded; binding: extensible; codelist: selection of RoleCodeNL)</t>
  </si>
  <si>
    <t>If this field is filled in and an AGB code is used for the HealthcareProviderIdentificationNumber, the type must match the type implicitly contained in the AGB code.</t>
  </si>
  <si>
    <t>ORG-004</t>
  </si>
  <si>
    <t>Type of organization, such as insurance company, healthcare provider etc.</t>
  </si>
  <si>
    <t>Binding Description: (preferred): HL7 organisation_type</t>
  </si>
  <si>
    <t>ORG-005</t>
  </si>
  <si>
    <t>OrganizationName</t>
  </si>
  <si>
    <t>Name of the organization.</t>
  </si>
  <si>
    <t>(string)</t>
  </si>
  <si>
    <t>0..1</t>
  </si>
  <si>
    <t>EHDSOrganization, BgZ-MSZ 2.0</t>
  </si>
  <si>
    <t xml:space="preserve"> If an identification number is given, the name must match the name that corresponds to the identification number.</t>
  </si>
  <si>
    <t>ORG-006</t>
  </si>
  <si>
    <t>Contact.Address</t>
  </si>
  <si>
    <t>An address for a contact within the organization</t>
  </si>
  <si>
    <t>(ref. GBB-Address)
SHALL An address of an organization can never be of use 'home'</t>
  </si>
  <si>
    <t>EHDSOrganization, Spoedsamenvatting 2.2.0, BgZ MSZ 2.0</t>
  </si>
  <si>
    <t>Zie discussie</t>
  </si>
  <si>
    <t>ORG-007</t>
  </si>
  <si>
    <t>Contact.Telecom</t>
  </si>
  <si>
    <t>Contact information to contact a person within the organization with.</t>
  </si>
  <si>
    <t>(ref. GBB-ContactPoint)
SHALL The telecom of an organization can never be of use 'home'</t>
  </si>
  <si>
    <t>EHDSOrganization, Spoedsamenvatting 2.2.0, BgZ-MSZ 2.0</t>
  </si>
  <si>
    <t>ORG-008</t>
  </si>
  <si>
    <t>PartOf</t>
  </si>
  <si>
    <t>(Reference to) The organization of which this organization forms a part. Needed to be able to track the hierarchy of organizations within an organization.</t>
  </si>
  <si>
    <t>(ref. GBB-Organization)</t>
  </si>
  <si>
    <t>0..1  If the resource is contained in another resource, it SHALL NOT contain nested Resources. e.g., a department in a hospital cannot be the target of another Organization.partOf</t>
  </si>
  <si>
    <t>Actie</t>
  </si>
  <si>
    <t>Notitie</t>
  </si>
  <si>
    <t>[Actie om te ondernemen, kies uit de 3 acties: cluster, andere bouwsteen en modelleren]</t>
  </si>
  <si>
    <t>[Eventuele notitie]</t>
  </si>
  <si>
    <t>[Naam van de informatie-requirement ]</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</si>
  <si>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</si>
  <si>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</si>
  <si>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</si>
  <si>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</si>
  <si>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Data element</t>
  </si>
  <si>
    <t>Informatiestandaard</t>
  </si>
  <si>
    <t>Uitleg</t>
  </si>
  <si>
    <t>Uitkomst</t>
  </si>
  <si>
    <t>contact.name</t>
  </si>
  <si>
    <t>FHIR R5</t>
  </si>
  <si>
    <t>In de Xt-EHR komt dit niet voor, maar dit kan veel context toevoegen aan een contact</t>
  </si>
  <si>
    <t>contact.purpose</t>
  </si>
  <si>
    <t xml:space="preserve">In de Xt-EHR komt dit niet voor, maar dit kan veel context toevoegen aan een contact. Voorbeeld van een ziekenhuis https://www.ziekenhuisamstelland.nl/contact/ </t>
  </si>
  <si>
    <t>organizationType</t>
  </si>
  <si>
    <t>willen we de waardelijsten van zowel FHIR als zib houden?</t>
  </si>
  <si>
    <t>Ter Discussie</t>
  </si>
  <si>
    <t>zib2020</t>
  </si>
  <si>
    <t xml:space="preserve">De container OrganizationLocation lijkt niet een fysieke locatie te duiden, maar te betekenen dat die instantiatie een onderdeel van een grotere organisatie is, en wel of niet een andere locatie heeft dan die grotere organisatie. </t>
  </si>
  <si>
    <t>Organisatie en Locatie zijn uitgesplitst in 2 aparte GBB's. Vanuit Locatie wordt verwezen naar Organisatie. In Organisatie.PartOf is gekozen voor verwijzing naar Organisatie.</t>
  </si>
  <si>
    <t>DepartmentSpecialty</t>
  </si>
  <si>
    <t>Discussie over het gebruik van HealthCareServices (FHIR element) in de plaats. Handig voor declaraties. Staat ook als verwijzing in PractitionerRole. Zie ook Zib issue: https://nictiz.atlassian.net/browse/ZIB-452</t>
  </si>
  <si>
    <t>ZIB-2941 -&gt; verwijder DepartmentSpecialty (AfdelingSpecialisme) uit Organization</t>
  </si>
  <si>
    <t>Waardelijst organisation_type</t>
  </si>
  <si>
    <t>Xt-EHR (preferred): HL7 organisation_type, Zib2020</t>
  </si>
  <si>
    <t>Gewerkt met additional bindings, beide waardelijsten toegevoegd in FHIR profiel, HL7 organisation_type gewijzigd van example naar preferred.</t>
  </si>
  <si>
    <t>LocationNumber</t>
  </si>
  <si>
    <t>LocationNumber wordt gezien als identifier of naam. Hoe om te gaan met datatype integer tov identifier?</t>
  </si>
  <si>
    <t>LocationNumber heeft geen mappingen. We zien het daarom niet als informatierequirement</t>
  </si>
  <si>
    <t>Contact</t>
  </si>
  <si>
    <t>Adres en telecom verbonden aan een Contact. Kardinaliteiten nog onduidelijk</t>
  </si>
  <si>
    <t>Contact incl. kardinaliteiten als "pre-adopt" meegenomen uit R5; Elementen Telecom en Address komen in R5 niet meer los voor, maar slechts als onderdeel van Contact.</t>
  </si>
  <si>
    <t>Na afstemming met leveranciers besloten om dit terug te draaien en Kard. 0..* aan te houden.</t>
  </si>
  <si>
    <t>Obligation nog niet toegevoegd, discussie gaande</t>
  </si>
  <si>
    <t>Zie "Overwegingen voor de toekomst"</t>
  </si>
  <si>
    <t>ZIB-464</t>
  </si>
  <si>
    <t>Wens voor splitsing Afdeling en Specialisme. Is dit een IB?</t>
  </si>
  <si>
    <t>ZIB-2941 -&gt; verwijder uit Organization</t>
  </si>
  <si>
    <t>Organization.name</t>
  </si>
  <si>
    <t>SSV</t>
  </si>
  <si>
    <t>In de SSV meerdere namen mogelijk, kardinaliteit 1..*, terwijl EHDS LIM (en GBB afsprakenmodel) op 0..1 staat (in het FHIR profiel is .name 1..1)</t>
  </si>
  <si>
    <t>Organization.name aankaarten bij FHIR EU, omdat deze 1..1 ipv de LIM die aangeeft dat deze 0..1 is.</t>
  </si>
  <si>
    <t>Organization.Address</t>
  </si>
  <si>
    <t>In de SSV meerdere adressen mogelijk, kardinaliteit 0..*, terwijl EHDS LIM (en GBB afsprakenmodel) op 0..1 staat. Dit wordt opgelost als de modeleering vanuit R% teruggezet wordt naar R4 (zonder contact container)</t>
  </si>
  <si>
    <t>Organization.Telecom</t>
  </si>
  <si>
    <t>In de SSV meerdere Telecom mogelijk, kardinaliteit 0..*, terwijl EHDS LIM (en GBB afsprakenmodel) op 0..1 staat. Dit wordt opgelost als de modeleering vanuit R% teruggezet wordt naar R4 (zonder contact container)</t>
  </si>
  <si>
    <t>EU base</t>
  </si>
  <si>
    <t>Kardinaliteit verschil tussen LIM en FHIR profiel LIM = 1..1 Profile = 0..1</t>
  </si>
  <si>
    <t>Ticket aangemaakt op HL7 jira omgeving</t>
  </si>
  <si>
    <t>Link: https://jira.hl7.org/browse/FHIR-58618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</si>
</sst>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scheme val="minor"/>
    </font>
    <font>
      <b/>
      <sz val="11"/>
      <color theme="1"/>
      <name val="Aptos Narrow"/>
      <family val="2"/>
      <scheme val="minor"/>
    </font>
    <font>
      <i/>
      <sz val="11"/>
      <color theme="1"/>
      <name val="Aptos Narrow"/>
      <family val="2"/>
      <scheme val="minor"/>
    </font>
    <font>
      <sz val="8"/>
      <name val="Aptos Narrow"/>
      <family val="2"/>
      <scheme val="minor"/>
    </font>
    <font>
      <sz val="11"/>
      <color rgb="FF000000"/>
      <name val="Aptos Narrow"/>
      <family val="2"/>
      <scheme val="minor"/>
    </font>
    <font>
      <b/>
      <sz val="11"/>
      <color rgb="FF000000"/>
      <name val="Aptos Narrow"/>
      <family val="2"/>
      <scheme val="minor"/>
    </font>
    <font>
      <b/>
      <sz val="11"/>
      <color rgb="FFFFFFFF"/>
      <name val="Aptos Narrow"/>
      <family val="2"/>
      <scheme val="minor"/>
    </font>
    <font>
      <sz val="11"/>
      <color rgb="FFFFFFFF"/>
      <name val="Aptos Narrow"/>
      <family val="2"/>
      <scheme val="minor"/>
    </font>
    <font>
      <b/>
      <sz val="11"/>
      <color rgb="FF000000"/>
      <name val="Aptos Narrow"/>
      <scheme val="minor"/>
    </font>
    <font>
      <u/>
      <sz val="11"/>
      <color theme="10"/>
      <name val="Aptos Narrow"/>
      <family val="2"/>
      <scheme val="minor"/>
    </font>
    <font>
      <sz val="11"/>
      <color rgb="FF000000"/>
      <name val="Aptos Narrow"/>
      <family val="2"/>
    </font>
    <font>
      <sz val="12"/>
      <color theme="1"/>
      <name val="Aptos"/>
      <family val="2"/>
      <charset val="1"/>
    </font>
    <font>
      <b/>
      <sz val="11"/>
      <color theme="0"/>
      <name val="Aptos Narrow"/>
      <scheme val="minor"/>
    </font>
    <font>
      <sz val="11"/>
      <color rgb="FF000000"/>
      <name val="Aptos Narrow"/>
    </font>
    <font>
      <sz val="11"/>
      <color theme="1"/>
      <name val="Aptos"/>
      <family val="2"/>
      <charset val="1"/>
    </font>
  </fonts>
  <fills count="3">
    <fill>
      <patternFill patternType="none"/>
    </fill>
    <fill>
      <patternFill patternType="gray125"/>
    </fill>
    <fill>
      <patternFill patternType="solid">
        <fgColor rgb="FFE97132"/>
        <bgColor rgb="FF000000"/>
      </patternFill>
    </fill>
  </fills>
  <borders count="6">
    <border>
      <left/>
      <right/>
      <top/>
      <bottom/>
      <diagonal/>
    </border>
    <border>
      <left/>
      <right/>
      <top style="thin">
        <color rgb="FFF1A983"/>
      </top>
      <bottom style="thin">
        <color rgb="FFF1A983"/>
      </bottom>
      <diagonal/>
    </border>
    <border>
      <left style="thin">
        <color theme="5" tint="0.39997558519241921"/>
      </left>
      <right/>
      <top style="thin">
        <color theme="5" tint="0.39997558519241921"/>
      </top>
      <bottom style="thin">
        <color theme="5" tint="0.39997558519241921"/>
      </bottom>
      <diagonal/>
    </border>
    <border>
      <left/>
      <right/>
      <top style="thin">
        <color theme="5" tint="0.39997558519241921"/>
      </top>
      <bottom style="thin">
        <color theme="5" tint="0.39997558519241921"/>
      </bottom>
      <diagonal/>
    </border>
    <border>
      <left/>
      <right style="thin">
        <color theme="5" tint="0.39997558519241921"/>
      </right>
      <top style="thin">
        <color rgb="FFF1A983"/>
      </top>
      <bottom style="thin">
        <color rgb="FFF1A983"/>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9" fillId="0" borderId="0" applyNumberFormat="0" applyFill="0" applyBorder="0" applyAlignment="0" applyProtection="0"/>
  </cellStyleXfs>
  <cellXfs count="30">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0" applyFont="1" applyAlignment="1">
      <alignment horizontal="left" vertical="top"/>
    </xf>
    <xf numFmtId="0" fontId="5" fillId="0" borderId="0" xfId="0" applyFont="1" applyAlignment="1">
      <alignment horizontal="left" vertical="top"/>
    </xf>
    <xf numFmtId="0" fontId="4" fillId="0" borderId="0" xfId="0" applyFont="1" applyAlignment="1">
      <alignment horizontal="left" vertical="top" wrapText="1"/>
    </xf>
    <xf numFmtId="0" fontId="7" fillId="0" borderId="0" xfId="0" applyFont="1" applyAlignment="1">
      <alignment horizontal="left" vertical="top"/>
    </xf>
    <xf numFmtId="0" fontId="6"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7" fillId="2" borderId="0" xfId="0" applyFont="1" applyFill="1"/>
    <xf numFmtId="0" fontId="10" fillId="0" borderId="0" xfId="0" applyFont="1" applyAlignment="1">
      <alignment wrapText="1"/>
    </xf>
    <xf numFmtId="0" fontId="9" fillId="0" borderId="0" xfId="1" applyAlignment="1">
      <alignment vertical="top" wrapText="1"/>
    </xf>
    <xf numFmtId="0" fontId="9" fillId="0" borderId="0" xfId="1"/>
    <xf numFmtId="0" fontId="11" fillId="0" borderId="0" xfId="0" applyFont="1"/>
    <xf numFmtId="0" fontId="7" fillId="0" borderId="0" xfId="0" applyFont="1"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wrapText="1"/>
    </xf>
    <xf numFmtId="0" fontId="13" fillId="0" borderId="0" xfId="0" applyFont="1" applyAlignment="1">
      <alignment horizontal="left" vertical="top" wrapText="1"/>
    </xf>
    <xf numFmtId="0" fontId="14" fillId="0" borderId="0" xfId="0" applyFont="1"/>
    <xf numFmtId="0" fontId="6" fillId="0" borderId="2" xfId="0" applyFont="1" applyBorder="1" applyAlignment="1">
      <alignment horizontal="left" vertical="top" wrapText="1"/>
    </xf>
    <xf numFmtId="0" fontId="6" fillId="0" borderId="3" xfId="0" applyFont="1" applyBorder="1" applyAlignment="1">
      <alignment horizontal="left" vertical="top" wrapText="1"/>
    </xf>
    <xf numFmtId="0" fontId="6" fillId="0" borderId="4" xfId="0" applyFont="1" applyBorder="1" applyAlignment="1">
      <alignment horizontal="left" vertical="top" wrapText="1"/>
    </xf>
    <xf numFmtId="0" fontId="4" fillId="0" borderId="2" xfId="0" applyFont="1" applyBorder="1" applyAlignment="1">
      <alignment horizontal="left" vertical="top" wrapText="1"/>
    </xf>
    <xf numFmtId="0" fontId="4" fillId="0" borderId="3" xfId="0" applyFont="1" applyBorder="1" applyAlignment="1">
      <alignment horizontal="left" vertical="top" wrapText="1"/>
    </xf>
    <xf numFmtId="0" fontId="4" fillId="0" borderId="5" xfId="0" applyFont="1" applyBorder="1" applyAlignment="1">
      <alignment horizontal="left" vertical="top" wrapText="1"/>
    </xf>
    <xf numFmtId="0" fontId="12" fillId="0" borderId="0" xfId="0" applyFont="1" applyAlignment="1">
      <alignment horizontal="left" vertical="top" wrapText="1"/>
    </xf>
    <xf numFmtId="0" fontId="8" fillId="0" borderId="0" xfId="0" applyFont="1" applyAlignment="1">
      <alignment horizontal="left" vertical="top" wrapText="1"/>
    </xf>
    <xf numFmtId="0" fontId="0" fillId="0" borderId="0" xfId="0" applyAlignment="1">
      <alignment vertical="top"/>
    </xf>
  </cellXfs>
  <cellStyles count="2">
    <cellStyle name="Hyperlink" xfId="1" builtinId="8"/>
    <cellStyle name="Standaard" xfId="0" builtinId="0"/>
  </cellStyles>
  <dxfs count="30">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ill>
        <patternFill patternType="none">
          <fgColor indexed="64"/>
          <bgColor auto="1"/>
        </patternFill>
      </fill>
      <alignment textRotation="0" wrapText="1"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ont>
        <b/>
        <i val="0"/>
        <strike val="0"/>
        <condense val="0"/>
        <extend val="0"/>
        <outline val="0"/>
        <shadow val="0"/>
        <u val="none"/>
        <vertAlign val="baseline"/>
        <sz val="11"/>
        <color rgb="FFFFFFFF"/>
        <name val="Aptos Narrow"/>
        <family val="2"/>
        <scheme val="minor"/>
      </font>
      <fill>
        <patternFill patternType="none">
          <fgColor theme="5"/>
          <bgColor theme="5"/>
        </patternFill>
      </fil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wrapText="1"/>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FFFFFF"/>
        <name val="Aptos Narrow"/>
        <family val="2"/>
        <scheme val="minor"/>
      </font>
      <fill>
        <patternFill patternType="solid">
          <fgColor rgb="FF000000"/>
          <bgColor rgb="FFE97132"/>
        </patternFill>
      </fill>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7</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257175</xdr:colOff>
      <xdr:row>0</xdr:row>
      <xdr:rowOff>271461</xdr:rowOff>
    </xdr:from>
    <xdr:to>
      <xdr:col>2</xdr:col>
      <xdr:colOff>3552825</xdr:colOff>
      <xdr:row>0</xdr:row>
      <xdr:rowOff>2066924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257175" y="2714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9B5D8CA-526E-41E2-9015-923318959E98}" name="Tabel4" displayName="Tabel4" ref="A2:B11" totalsRowShown="0" headerRowDxfId="29" dataDxfId="28">
  <autoFilter ref="A2:B11" xr:uid="{59B5D8CA-526E-41E2-9015-923318959E98}"/>
  <tableColumns count="2">
    <tableColumn id="1" xr3:uid="{50EFEBF6-4893-432E-BEA1-588A83D972CB}" name="Veld" dataDxfId="27"/>
    <tableColumn id="2" xr3:uid="{9FB3B455-2F07-4EC4-A31C-65E3885F100A}" name="Beschrijving" dataDxfId="26"/>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4E70E2-B46F-4B62-81CF-884CAD44739D}" name="Tabel5" displayName="Tabel5" ref="A1:C11" totalsRowShown="0" headerRowDxfId="25">
  <autoFilter ref="A1:C11" xr:uid="{AE4E70E2-B46F-4B62-81CF-884CAD44739D}"/>
  <tableColumns count="3">
    <tableColumn id="1" xr3:uid="{353B1C84-B074-472C-8FDA-BF6BED2D63C8}" name="type bron" dataDxfId="24"/>
    <tableColumn id="2" xr3:uid="{0B17EAA3-957B-45FC-A6C7-6D847A216C50}" name="link" dataCellStyle="Hyperlink"/>
    <tableColumn id="3" xr3:uid="{8B33B7A8-D1F0-4831-95B4-64521C7111E4}" name="aantekeninge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7A74B4-1B1A-41BC-BD71-6686D3A80317}" name="Tabel2" displayName="Tabel2" ref="A2:I10" totalsRowShown="0" headerRowDxfId="23" dataDxfId="22">
  <autoFilter ref="A2:I10" xr:uid="{DE7A74B4-1B1A-41BC-BD71-6686D3A80317}"/>
  <tableColumns count="9">
    <tableColumn id="1" xr3:uid="{AEDCF761-C41E-45F9-8585-F195D983B89C}" name="Nummer" dataDxfId="21"/>
    <tableColumn id="2" xr3:uid="{635CD206-F27E-4A6A-BC65-EEED36933D1E}" name="Naam" dataDxfId="20"/>
    <tableColumn id="3" xr3:uid="{8EF3A9D6-055E-4CB8-96A3-6552DF1766C8}" name="Omschrijving" dataDxfId="19"/>
    <tableColumn id="4" xr3:uid="{C3044835-AC84-438A-ADC2-CAD99CE92BD0}" name="Variabiliteit" dataDxfId="18"/>
    <tableColumn id="5" xr3:uid="{AA18877F-FB5A-4805-A5CF-69206661B387}" name="Aanwezigheid" dataDxfId="17"/>
    <tableColumn id="6" xr3:uid="{564C5C8F-5623-4C63-8144-810E58143EDA}" name="Verleden/heden/toekomst" dataDxfId="16"/>
    <tableColumn id="7" xr3:uid="{58DBAFD8-EA1C-440F-9872-7271A13F1C90}" name="Herkomst" dataDxfId="15"/>
    <tableColumn id="8" xr3:uid="{F805880C-4939-45E5-9047-13B213C612A8}" name="Opmerkingen" dataDxfId="14"/>
    <tableColumn id="9" xr3:uid="{B16F7E82-08F9-401A-8EA3-02C7E15C7DC3}" name="EU filter" dataDxfId="13">
      <calculatedColumnFormula>ISNUMBER(SEARCH("EHDS", G3))</calculatedColumnFormula>
    </tableColumn>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20A176F-3671-4755-B06A-A662E9E9670D}" name="Tabel6" displayName="Tabel6" ref="A2:D5" totalsRowShown="0" headerRowDxfId="12" dataDxfId="11">
  <autoFilter ref="A2:D5" xr:uid="{E20A176F-3671-4755-B06A-A662E9E9670D}"/>
  <tableColumns count="4">
    <tableColumn id="1" xr3:uid="{3C3A3648-FA1B-4745-AA0F-56FD15B31549}" name="Data element" dataDxfId="10"/>
    <tableColumn id="2" xr3:uid="{5AB75249-FC0C-4020-93EF-4E5B4F92C328}" name="Informatiestandaard" dataDxfId="9"/>
    <tableColumn id="3" xr3:uid="{304BF3A6-44F1-48DF-87D2-1D29D19573B9}" name="Uitleg" dataDxfId="8"/>
    <tableColumn id="4" xr3:uid="{F0B70321-80D5-49AC-89C4-9533F7F4B3BF}" name="Uitkomst" dataDxfId="7"/>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4DEBB5-2EFB-4078-A24C-EE66E3791A2F}" name="Tabel1" displayName="Tabel1" ref="B3:F20" totalsRowShown="0" headerRowDxfId="6" dataDxfId="5">
  <autoFilter ref="B3:F20" xr:uid="{F34DEBB5-2EFB-4078-A24C-EE66E3791A2F}"/>
  <tableColumns count="5">
    <tableColumn id="1" xr3:uid="{68B36AAD-2300-4CA0-AA10-5F1A41ABB17E}" name="Data element" dataDxfId="4"/>
    <tableColumn id="2" xr3:uid="{341D4A74-791C-425D-B379-8FC69CAF6C79}" name="Informatiestandaard" dataDxfId="3"/>
    <tableColumn id="3" xr3:uid="{79F7C4DD-833C-4C2D-936C-815F18189410}" name="Uitleg" dataDxfId="2"/>
    <tableColumn id="4" xr3:uid="{D3C54DC8-E13B-4401-86E0-4E8753D268FA}" name="Uitkomst" dataDxfId="1"/>
    <tableColumn id="5" xr3:uid="{47354D9D-ADCE-4E5D-995C-AEEFC62D7612}" name="Opmerkingen"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ckm.openehr.org/ckm/archetypes/1013.1.371/mindmap" TargetMode="External"/><Relationship Id="rId3" Type="http://schemas.openxmlformats.org/officeDocument/2006/relationships/hyperlink" Target="https://simplifier.net/nictiz-r4-zib2020/zibhealthcareproviderorganization" TargetMode="External"/><Relationship Id="rId7" Type="http://schemas.openxmlformats.org/officeDocument/2006/relationships/hyperlink" Target="https://zibs.nl/wiki/Zorgaanbieder-v3.4(2020NL)" TargetMode="External"/><Relationship Id="rId2" Type="http://schemas.openxmlformats.org/officeDocument/2006/relationships/hyperlink" Target="https://simplifier.net/nictiz-r4-zib2020/nlcorehealthcareproviderorganization" TargetMode="External"/><Relationship Id="rId1" Type="http://schemas.openxmlformats.org/officeDocument/2006/relationships/hyperlink" Target="https://hl7.org/fhir/R4/organization.html" TargetMode="External"/><Relationship Id="rId6" Type="http://schemas.openxmlformats.org/officeDocument/2006/relationships/hyperlink" Target="https://hl7.eu/fhir/base/map-ehdsorganisation.html" TargetMode="External"/><Relationship Id="rId5" Type="http://schemas.openxmlformats.org/officeDocument/2006/relationships/hyperlink" Target="https://hl7.eu/fhir/base/StructureDefinition-organization-eu-core.html" TargetMode="External"/><Relationship Id="rId10" Type="http://schemas.openxmlformats.org/officeDocument/2006/relationships/table" Target="../tables/table2.xml"/><Relationship Id="rId4" Type="http://schemas.openxmlformats.org/officeDocument/2006/relationships/hyperlink" Target="https://www.xt-ehr.eu/fhir/models/en/StructureDefinition-EHDSOrganisation.html" TargetMode="External"/><Relationship Id="rId9" Type="http://schemas.openxmlformats.org/officeDocument/2006/relationships/hyperlink" Target="https://decor.nictiz.nl/ad/"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https://nictiz.atlassian.net/browse/ZIB-4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
  <sheetViews>
    <sheetView workbookViewId="0">
      <selection activeCell="A19" sqref="A19"/>
    </sheetView>
  </sheetViews>
  <sheetFormatPr defaultRowHeight="14.45"/>
  <cols>
    <col min="1" max="1" width="218.42578125" customWidth="1"/>
  </cols>
  <sheetData>
    <row r="1" spans="1:1" ht="15" customHeight="1">
      <c r="A1" s="3"/>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B11"/>
  <sheetViews>
    <sheetView workbookViewId="0">
      <selection activeCell="B13" sqref="B13"/>
    </sheetView>
  </sheetViews>
  <sheetFormatPr defaultRowHeight="14.45"/>
  <cols>
    <col min="1" max="1" width="23" customWidth="1"/>
    <col min="2" max="2" width="140.28515625" customWidth="1"/>
  </cols>
  <sheetData>
    <row r="1" spans="1:2" ht="190.5" customHeight="1">
      <c r="A1" s="3"/>
    </row>
    <row r="2" spans="1:2" ht="15">
      <c r="A2" s="17" t="s">
        <v>0</v>
      </c>
      <c r="B2" s="17" t="s">
        <v>1</v>
      </c>
    </row>
    <row r="3" spans="1:2" ht="15">
      <c r="A3" s="18" t="s">
        <v>2</v>
      </c>
      <c r="B3" s="18" t="s">
        <v>3</v>
      </c>
    </row>
    <row r="4" spans="1:2" ht="43.5">
      <c r="A4" s="18" t="s">
        <v>4</v>
      </c>
      <c r="B4" s="18" t="s">
        <v>5</v>
      </c>
    </row>
    <row r="5" spans="1:2" ht="15">
      <c r="A5" s="18" t="s">
        <v>6</v>
      </c>
      <c r="B5" s="18" t="s">
        <v>7</v>
      </c>
    </row>
    <row r="6" spans="1:2" ht="15">
      <c r="A6" s="18" t="s">
        <v>8</v>
      </c>
      <c r="B6" s="18" t="s">
        <v>9</v>
      </c>
    </row>
    <row r="7" spans="1:2" ht="15">
      <c r="A7" s="18" t="s">
        <v>10</v>
      </c>
      <c r="B7" s="18" t="s">
        <v>11</v>
      </c>
    </row>
    <row r="8" spans="1:2" ht="138.75" customHeight="1">
      <c r="A8" s="18" t="s">
        <v>12</v>
      </c>
      <c r="B8" s="18" t="s">
        <v>13</v>
      </c>
    </row>
    <row r="9" spans="1:2" ht="15">
      <c r="A9" s="18" t="s">
        <v>14</v>
      </c>
      <c r="B9" s="18" t="s">
        <v>15</v>
      </c>
    </row>
    <row r="10" spans="1:2" ht="15">
      <c r="A10" s="18" t="s">
        <v>16</v>
      </c>
      <c r="B10" s="18" t="s">
        <v>17</v>
      </c>
    </row>
    <row r="11" spans="1:2" ht="15">
      <c r="A11" s="18" t="s">
        <v>18</v>
      </c>
      <c r="B11" s="19" t="s">
        <v>19</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56AF1-42FD-4E84-8EE1-8568D7C6AEE8}">
  <dimension ref="A1:C12"/>
  <sheetViews>
    <sheetView workbookViewId="0">
      <selection activeCell="B11" sqref="B11"/>
    </sheetView>
  </sheetViews>
  <sheetFormatPr defaultRowHeight="14.45"/>
  <cols>
    <col min="1" max="1" width="23.5703125" customWidth="1"/>
    <col min="2" max="2" width="106.28515625" customWidth="1"/>
    <col min="3" max="3" width="62.7109375" customWidth="1"/>
  </cols>
  <sheetData>
    <row r="1" spans="1:3">
      <c r="A1" s="11" t="s">
        <v>20</v>
      </c>
      <c r="B1" s="11" t="s">
        <v>21</v>
      </c>
      <c r="C1" s="11" t="s">
        <v>22</v>
      </c>
    </row>
    <row r="2" spans="1:3" ht="15">
      <c r="A2" s="12" t="s">
        <v>23</v>
      </c>
      <c r="B2" s="13" t="s">
        <v>24</v>
      </c>
    </row>
    <row r="3" spans="1:3" ht="29.25">
      <c r="A3" s="12" t="s">
        <v>25</v>
      </c>
      <c r="B3" s="13" t="s">
        <v>26</v>
      </c>
    </row>
    <row r="4" spans="1:3" ht="15">
      <c r="A4" s="12" t="s">
        <v>27</v>
      </c>
      <c r="B4" s="14" t="s">
        <v>28</v>
      </c>
      <c r="C4" s="20" t="s">
        <v>29</v>
      </c>
    </row>
    <row r="5" spans="1:3" ht="29.25">
      <c r="A5" s="12" t="s">
        <v>30</v>
      </c>
      <c r="B5" s="13" t="s">
        <v>31</v>
      </c>
      <c r="C5" s="15"/>
    </row>
    <row r="6" spans="1:3" ht="29.25">
      <c r="A6" s="12" t="s">
        <v>32</v>
      </c>
      <c r="B6" s="13" t="s">
        <v>33</v>
      </c>
    </row>
    <row r="7" spans="1:3" ht="28.9">
      <c r="A7" s="12" t="s">
        <v>34</v>
      </c>
      <c r="B7" s="14" t="s">
        <v>35</v>
      </c>
    </row>
    <row r="8" spans="1:3" ht="28.9">
      <c r="A8" s="12" t="s">
        <v>36</v>
      </c>
      <c r="B8" s="14" t="s">
        <v>37</v>
      </c>
    </row>
    <row r="9" spans="1:3" ht="43.15">
      <c r="A9" s="12" t="s">
        <v>38</v>
      </c>
      <c r="B9" s="14" t="s">
        <v>39</v>
      </c>
    </row>
    <row r="10" spans="1:3" ht="28.9">
      <c r="A10" s="12" t="s">
        <v>40</v>
      </c>
      <c r="B10" s="13"/>
    </row>
    <row r="11" spans="1:3" ht="15">
      <c r="A11" t="s">
        <v>41</v>
      </c>
      <c r="B11" s="14" t="s">
        <v>42</v>
      </c>
    </row>
    <row r="12" spans="1:3" ht="15"/>
  </sheetData>
  <hyperlinks>
    <hyperlink ref="B4" r:id="rId1" xr:uid="{C7D966CA-C6CB-4183-BBA3-54EA1ABF8AEE}"/>
    <hyperlink ref="B6" r:id="rId2" xr:uid="{714DC51B-F00F-4956-B2FD-68C8B6E5BE15}"/>
    <hyperlink ref="B5" r:id="rId3" xr:uid="{C9FF6A25-B16C-455F-997B-799DC66A9421}"/>
    <hyperlink ref="B7" r:id="rId4" xr:uid="{7537026A-3648-43A4-85B1-4D41007BC509}"/>
    <hyperlink ref="B8" r:id="rId5" xr:uid="{8ECA5E5A-7DB0-4A42-AFB0-1A65D87AC5C9}"/>
    <hyperlink ref="B9" r:id="rId6" xr:uid="{5D12AB18-C915-444A-BF83-F1C3EFFEB15F}"/>
    <hyperlink ref="B2" r:id="rId7" xr:uid="{243AB532-E225-406E-8344-C49AC95EE8F3}"/>
    <hyperlink ref="B3" r:id="rId8" xr:uid="{A074D791-C70A-41DB-89D7-F2FBD624768F}"/>
    <hyperlink ref="B11" r:id="rId9" location="/acutezorg-/rules/templates/2.16.840.1.113883.2.4.3.11.60.66.10.77/2022-03-30T00:00:00" xr:uid="{EC237B1A-B0CB-4576-8BF8-B8BF1D9CC33C}"/>
  </hyperlinks>
  <pageMargins left="0.7" right="0.7" top="0.75" bottom="0.75" header="0.3" footer="0.3"/>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I10"/>
  <sheetViews>
    <sheetView topLeftCell="E1" workbookViewId="0">
      <selection activeCell="G10" sqref="G10"/>
    </sheetView>
  </sheetViews>
  <sheetFormatPr defaultRowHeight="15"/>
  <cols>
    <col min="1" max="1" width="13.28515625" style="18" customWidth="1"/>
    <col min="2" max="2" width="37" style="18" customWidth="1"/>
    <col min="3" max="3" width="68.42578125" style="18" customWidth="1"/>
    <col min="4" max="4" width="52.140625" style="18" customWidth="1"/>
    <col min="5" max="5" width="54" style="18" customWidth="1"/>
    <col min="6" max="6" width="48.7109375" style="18" customWidth="1"/>
    <col min="7" max="7" width="34.42578125" style="18" customWidth="1"/>
    <col min="8" max="8" width="39.5703125" style="18" customWidth="1"/>
    <col min="9" max="9" width="39.7109375" style="18" customWidth="1"/>
    <col min="10" max="16384" width="9.140625" style="18"/>
  </cols>
  <sheetData>
    <row r="1" spans="1:9" ht="191.25" customHeight="1"/>
    <row r="2" spans="1:9">
      <c r="A2" s="17" t="s">
        <v>43</v>
      </c>
      <c r="B2" s="17" t="s">
        <v>44</v>
      </c>
      <c r="C2" s="17" t="s">
        <v>45</v>
      </c>
      <c r="D2" s="17" t="s">
        <v>46</v>
      </c>
      <c r="E2" s="17" t="s">
        <v>47</v>
      </c>
      <c r="F2" s="17" t="s">
        <v>48</v>
      </c>
      <c r="G2" s="17" t="s">
        <v>49</v>
      </c>
      <c r="H2" s="27" t="s">
        <v>50</v>
      </c>
      <c r="I2" s="17" t="s">
        <v>51</v>
      </c>
    </row>
    <row r="3" spans="1:9">
      <c r="A3" s="18" t="s">
        <v>52</v>
      </c>
      <c r="B3" s="18" t="s">
        <v>53</v>
      </c>
      <c r="C3" s="18" t="s">
        <v>54</v>
      </c>
      <c r="D3" s="6" t="s">
        <v>55</v>
      </c>
      <c r="E3" s="18" t="s">
        <v>56</v>
      </c>
      <c r="F3" s="17"/>
      <c r="G3" s="18" t="s">
        <v>57</v>
      </c>
      <c r="H3" s="28"/>
      <c r="I3" s="18" t="b">
        <f t="shared" ref="I3:I10" si="0">ISNUMBER(SEARCH("EHDS", G3))</f>
        <v>1</v>
      </c>
    </row>
    <row r="4" spans="1:9" ht="43.5">
      <c r="A4" s="18" t="s">
        <v>58</v>
      </c>
      <c r="B4" s="18" t="s">
        <v>53</v>
      </c>
      <c r="C4" s="18" t="s">
        <v>54</v>
      </c>
      <c r="D4" s="18" t="s">
        <v>59</v>
      </c>
      <c r="E4" s="18" t="s">
        <v>56</v>
      </c>
      <c r="G4" s="18" t="s">
        <v>60</v>
      </c>
      <c r="I4" s="18" t="b">
        <f t="shared" si="0"/>
        <v>0</v>
      </c>
    </row>
    <row r="5" spans="1:9" ht="45.75" customHeight="1">
      <c r="A5" s="18" t="s">
        <v>61</v>
      </c>
      <c r="B5" s="18" t="s">
        <v>62</v>
      </c>
      <c r="C5" s="18" t="s">
        <v>63</v>
      </c>
      <c r="D5" s="18" t="s">
        <v>64</v>
      </c>
      <c r="E5" s="18" t="s">
        <v>56</v>
      </c>
      <c r="G5" s="18" t="s">
        <v>60</v>
      </c>
      <c r="H5" s="18" t="s">
        <v>65</v>
      </c>
      <c r="I5" s="18" t="b">
        <f t="shared" si="0"/>
        <v>0</v>
      </c>
    </row>
    <row r="6" spans="1:9" ht="16.5" customHeight="1">
      <c r="A6" s="18" t="s">
        <v>66</v>
      </c>
      <c r="B6" s="18" t="s">
        <v>62</v>
      </c>
      <c r="C6" s="18" t="s">
        <v>67</v>
      </c>
      <c r="D6" s="18" t="s">
        <v>68</v>
      </c>
      <c r="E6" s="18" t="s">
        <v>56</v>
      </c>
      <c r="G6" s="29" t="s">
        <v>57</v>
      </c>
      <c r="I6" s="18" t="b">
        <f t="shared" si="0"/>
        <v>1</v>
      </c>
    </row>
    <row r="7" spans="1:9" ht="39" customHeight="1">
      <c r="A7" s="18" t="s">
        <v>69</v>
      </c>
      <c r="B7" s="18" t="s">
        <v>70</v>
      </c>
      <c r="C7" s="18" t="s">
        <v>71</v>
      </c>
      <c r="D7" s="18" t="s">
        <v>72</v>
      </c>
      <c r="E7" s="18" t="s">
        <v>73</v>
      </c>
      <c r="G7" s="18" t="s">
        <v>74</v>
      </c>
      <c r="H7" s="18" t="s">
        <v>75</v>
      </c>
      <c r="I7" s="18" t="b">
        <f t="shared" si="0"/>
        <v>1</v>
      </c>
    </row>
    <row r="8" spans="1:9" ht="43.5">
      <c r="A8" s="18" t="s">
        <v>76</v>
      </c>
      <c r="B8" s="18" t="s">
        <v>77</v>
      </c>
      <c r="C8" s="18" t="s">
        <v>78</v>
      </c>
      <c r="D8" s="18" t="s">
        <v>79</v>
      </c>
      <c r="E8" s="18" t="s">
        <v>73</v>
      </c>
      <c r="G8" s="18" t="s">
        <v>80</v>
      </c>
      <c r="H8" s="18" t="s">
        <v>81</v>
      </c>
      <c r="I8" s="18" t="b">
        <f t="shared" si="0"/>
        <v>1</v>
      </c>
    </row>
    <row r="9" spans="1:9" ht="43.5">
      <c r="A9" s="18" t="s">
        <v>82</v>
      </c>
      <c r="B9" s="18" t="s">
        <v>83</v>
      </c>
      <c r="C9" s="18" t="s">
        <v>84</v>
      </c>
      <c r="D9" s="18" t="s">
        <v>85</v>
      </c>
      <c r="E9" s="18" t="s">
        <v>56</v>
      </c>
      <c r="G9" s="18" t="s">
        <v>86</v>
      </c>
      <c r="H9" s="18" t="s">
        <v>81</v>
      </c>
      <c r="I9" s="18" t="b">
        <f t="shared" si="0"/>
        <v>1</v>
      </c>
    </row>
    <row r="10" spans="1:9" ht="43.5">
      <c r="A10" s="18" t="s">
        <v>87</v>
      </c>
      <c r="B10" s="18" t="s">
        <v>88</v>
      </c>
      <c r="C10" s="18" t="s">
        <v>89</v>
      </c>
      <c r="D10" s="18" t="s">
        <v>90</v>
      </c>
      <c r="E10" s="18" t="s">
        <v>91</v>
      </c>
      <c r="G10" s="29" t="s">
        <v>74</v>
      </c>
      <c r="I10" s="18" t="b">
        <f t="shared" si="0"/>
        <v>1</v>
      </c>
    </row>
  </sheetData>
  <phoneticPr fontId="3" type="noConversion"/>
  <pageMargins left="0.7" right="0.7" top="0.75" bottom="0.75" header="0.3" footer="0.3"/>
  <pageSetup paperSize="9"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34" sqref="G34"/>
    </sheetView>
  </sheetViews>
  <sheetFormatPr defaultRowHeight="14.45"/>
  <cols>
    <col min="1" max="1" width="19.28515625" customWidth="1"/>
    <col min="2" max="2" width="18.5703125" customWidth="1"/>
    <col min="3" max="3" width="19.7109375" customWidth="1"/>
    <col min="4" max="4" width="15.140625" customWidth="1"/>
    <col min="5" max="5" width="16.7109375" customWidth="1"/>
    <col min="6" max="6" width="16.42578125" customWidth="1"/>
    <col min="7" max="7" width="41.5703125" customWidth="1"/>
  </cols>
  <sheetData>
    <row r="1" spans="1:7" ht="195.75" customHeight="1">
      <c r="A1" s="2" t="s">
        <v>92</v>
      </c>
      <c r="B1" s="2" t="s">
        <v>93</v>
      </c>
      <c r="C1" s="2" t="s">
        <v>44</v>
      </c>
      <c r="D1" s="2" t="s">
        <v>45</v>
      </c>
      <c r="E1" s="2" t="s">
        <v>46</v>
      </c>
      <c r="F1" s="2" t="s">
        <v>47</v>
      </c>
      <c r="G1" s="2" t="s">
        <v>49</v>
      </c>
    </row>
    <row r="2" spans="1:7">
      <c r="A2" s="1" t="s">
        <v>94</v>
      </c>
      <c r="B2" s="1" t="s">
        <v>95</v>
      </c>
      <c r="C2" s="1" t="s">
        <v>96</v>
      </c>
      <c r="D2" s="1" t="s">
        <v>97</v>
      </c>
      <c r="E2" s="1" t="s">
        <v>98</v>
      </c>
      <c r="F2" s="1" t="s">
        <v>99</v>
      </c>
      <c r="G2" s="1" t="s">
        <v>100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D10"/>
  <sheetViews>
    <sheetView workbookViewId="0">
      <selection activeCell="C5" sqref="C5"/>
    </sheetView>
  </sheetViews>
  <sheetFormatPr defaultRowHeight="14.45"/>
  <cols>
    <col min="1" max="1" width="17.5703125" customWidth="1"/>
    <col min="2" max="2" width="22" customWidth="1"/>
    <col min="3" max="3" width="76.5703125" customWidth="1"/>
    <col min="4" max="4" width="83.28515625" customWidth="1"/>
  </cols>
  <sheetData>
    <row r="1" spans="1:4" ht="111" customHeight="1"/>
    <row r="2" spans="1:4" ht="15">
      <c r="A2" s="21" t="s">
        <v>101</v>
      </c>
      <c r="B2" s="22" t="s">
        <v>102</v>
      </c>
      <c r="C2" s="22" t="s">
        <v>103</v>
      </c>
      <c r="D2" s="23" t="s">
        <v>104</v>
      </c>
    </row>
    <row r="3" spans="1:4" ht="15">
      <c r="A3" s="24" t="s">
        <v>105</v>
      </c>
      <c r="B3" s="25" t="s">
        <v>106</v>
      </c>
      <c r="C3" s="25" t="s">
        <v>107</v>
      </c>
      <c r="D3" s="26"/>
    </row>
    <row r="4" spans="1:4" ht="29.25">
      <c r="A4" s="24" t="s">
        <v>108</v>
      </c>
      <c r="B4" s="25" t="s">
        <v>106</v>
      </c>
      <c r="C4" s="25" t="s">
        <v>109</v>
      </c>
      <c r="D4" s="26"/>
    </row>
    <row r="5" spans="1:4" ht="15">
      <c r="A5" t="s">
        <v>110</v>
      </c>
      <c r="C5" t="s">
        <v>111</v>
      </c>
    </row>
    <row r="6" spans="1:4" ht="15"/>
    <row r="7" spans="1:4" ht="15"/>
    <row r="8" spans="1:4" ht="15"/>
    <row r="9" spans="1:4" ht="15"/>
    <row r="10" spans="1:4" ht="15"/>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07244-21B1-4120-B673-4A54672CC2AD}">
  <dimension ref="A2:I21"/>
  <sheetViews>
    <sheetView tabSelected="1" topLeftCell="A2" workbookViewId="0">
      <selection activeCell="D14" sqref="D14"/>
    </sheetView>
  </sheetViews>
  <sheetFormatPr defaultRowHeight="14.45"/>
  <cols>
    <col min="2" max="2" width="19.7109375" style="3" customWidth="1"/>
    <col min="3" max="3" width="21.42578125" style="3" customWidth="1"/>
    <col min="4" max="4" width="77.42578125" style="3" customWidth="1"/>
    <col min="5" max="5" width="76.5703125" style="3" customWidth="1"/>
    <col min="6" max="6" width="44.7109375" customWidth="1"/>
  </cols>
  <sheetData>
    <row r="2" spans="1:9">
      <c r="A2" s="4"/>
      <c r="B2" s="9" t="s">
        <v>112</v>
      </c>
      <c r="C2" s="6"/>
      <c r="D2" s="6"/>
      <c r="E2" s="6"/>
      <c r="F2" s="5"/>
      <c r="G2" s="4"/>
      <c r="H2" s="4"/>
      <c r="I2" s="4"/>
    </row>
    <row r="3" spans="1:9" ht="29.25">
      <c r="A3" s="4"/>
      <c r="B3" s="8" t="s">
        <v>101</v>
      </c>
      <c r="C3" s="8" t="s">
        <v>102</v>
      </c>
      <c r="D3" s="8" t="s">
        <v>103</v>
      </c>
      <c r="E3" s="10" t="s">
        <v>104</v>
      </c>
      <c r="F3" s="16" t="s">
        <v>50</v>
      </c>
      <c r="G3" s="7"/>
      <c r="H3" s="7"/>
      <c r="I3" s="4"/>
    </row>
    <row r="4" spans="1:9" ht="48.75" customHeight="1">
      <c r="A4" s="4"/>
      <c r="B4" s="6" t="s">
        <v>88</v>
      </c>
      <c r="C4" s="6" t="s">
        <v>113</v>
      </c>
      <c r="D4" s="6" t="s">
        <v>114</v>
      </c>
      <c r="E4" s="6" t="s">
        <v>115</v>
      </c>
      <c r="F4" s="6"/>
      <c r="G4" s="4"/>
      <c r="H4" s="4"/>
      <c r="I4" s="4"/>
    </row>
    <row r="5" spans="1:9" ht="43.5">
      <c r="B5" s="6" t="s">
        <v>116</v>
      </c>
      <c r="C5" s="6" t="s">
        <v>113</v>
      </c>
      <c r="D5" s="6" t="s">
        <v>117</v>
      </c>
      <c r="E5" s="6" t="s">
        <v>118</v>
      </c>
      <c r="F5" s="6"/>
    </row>
    <row r="6" spans="1:9" ht="29.25">
      <c r="B6" s="6" t="s">
        <v>119</v>
      </c>
      <c r="C6" s="6"/>
      <c r="D6" s="6" t="s">
        <v>120</v>
      </c>
      <c r="E6" s="6" t="s">
        <v>121</v>
      </c>
      <c r="F6" s="6"/>
    </row>
    <row r="7" spans="1:9" ht="30.75" customHeight="1">
      <c r="B7" s="6" t="s">
        <v>122</v>
      </c>
      <c r="C7" s="6" t="s">
        <v>113</v>
      </c>
      <c r="D7" s="6" t="s">
        <v>123</v>
      </c>
      <c r="E7" s="6" t="s">
        <v>124</v>
      </c>
      <c r="F7" s="6"/>
    </row>
    <row r="8" spans="1:9" ht="29.25">
      <c r="B8" s="6" t="s">
        <v>125</v>
      </c>
      <c r="C8" s="6" t="s">
        <v>106</v>
      </c>
      <c r="D8" s="6" t="s">
        <v>126</v>
      </c>
      <c r="E8" s="6" t="s">
        <v>127</v>
      </c>
      <c r="F8" s="6" t="s">
        <v>128</v>
      </c>
    </row>
    <row r="9" spans="1:9" ht="15">
      <c r="B9" s="6" t="s">
        <v>105</v>
      </c>
      <c r="C9" s="6" t="s">
        <v>106</v>
      </c>
      <c r="D9" s="6" t="s">
        <v>107</v>
      </c>
      <c r="E9" s="6" t="s">
        <v>129</v>
      </c>
      <c r="F9" s="6"/>
    </row>
    <row r="10" spans="1:9" ht="29.25">
      <c r="B10" s="6" t="s">
        <v>108</v>
      </c>
      <c r="C10" s="6" t="s">
        <v>106</v>
      </c>
      <c r="D10" s="6" t="s">
        <v>109</v>
      </c>
      <c r="E10" s="6" t="s">
        <v>130</v>
      </c>
      <c r="F10" s="6"/>
    </row>
    <row r="11" spans="1:9" ht="15">
      <c r="B11" s="14" t="s">
        <v>131</v>
      </c>
      <c r="C11" s="6"/>
      <c r="D11" s="6" t="s">
        <v>132</v>
      </c>
      <c r="E11" s="6" t="s">
        <v>133</v>
      </c>
      <c r="F11" s="6"/>
    </row>
    <row r="12" spans="1:9" ht="29.25">
      <c r="B12" s="6" t="s">
        <v>134</v>
      </c>
      <c r="C12" s="6" t="s">
        <v>135</v>
      </c>
      <c r="D12" s="6" t="s">
        <v>136</v>
      </c>
      <c r="E12" s="6"/>
      <c r="F12" s="6" t="s">
        <v>137</v>
      </c>
    </row>
    <row r="13" spans="1:9" ht="15">
      <c r="B13" s="6" t="s">
        <v>138</v>
      </c>
      <c r="C13" s="6" t="s">
        <v>135</v>
      </c>
      <c r="D13" t="s">
        <v>139</v>
      </c>
      <c r="E13" s="6"/>
      <c r="F13" s="6"/>
    </row>
    <row r="14" spans="1:9" ht="15">
      <c r="B14" s="6" t="s">
        <v>140</v>
      </c>
      <c r="C14" s="6" t="s">
        <v>135</v>
      </c>
      <c r="D14" t="s">
        <v>141</v>
      </c>
      <c r="E14" s="6"/>
      <c r="F14" s="6"/>
    </row>
    <row r="15" spans="1:9" ht="15">
      <c r="B15" s="6" t="s">
        <v>134</v>
      </c>
      <c r="C15" s="6" t="s">
        <v>142</v>
      </c>
      <c r="D15" s="6" t="s">
        <v>143</v>
      </c>
      <c r="E15" s="6" t="s">
        <v>144</v>
      </c>
      <c r="F15" s="6" t="s">
        <v>145</v>
      </c>
    </row>
    <row r="16" spans="1:9" ht="15">
      <c r="B16" s="6"/>
      <c r="C16" s="6"/>
      <c r="D16" s="6"/>
      <c r="E16" s="6"/>
      <c r="F16" s="6"/>
    </row>
    <row r="17" spans="2:6" ht="15">
      <c r="B17" s="6"/>
      <c r="C17" s="6"/>
      <c r="D17" s="6"/>
      <c r="E17" s="6"/>
      <c r="F17" s="6"/>
    </row>
    <row r="18" spans="2:6" ht="15">
      <c r="B18" s="6"/>
      <c r="C18" s="6"/>
      <c r="D18" s="6"/>
      <c r="E18" s="6"/>
      <c r="F18" s="6"/>
    </row>
    <row r="19" spans="2:6" ht="15">
      <c r="B19" s="6"/>
      <c r="C19" s="6"/>
      <c r="D19" s="6"/>
      <c r="E19" s="6"/>
      <c r="F19" s="6"/>
    </row>
    <row r="20" spans="2:6" ht="15">
      <c r="B20" s="6"/>
      <c r="C20" s="6"/>
      <c r="D20" s="6"/>
      <c r="E20" s="6"/>
      <c r="F20" s="6"/>
    </row>
    <row r="21" spans="2:6" ht="15"/>
  </sheetData>
  <hyperlinks>
    <hyperlink ref="B11" r:id="rId1" xr:uid="{D10F429E-6B60-488A-B165-0C4F6F5E7C9B}"/>
  </hyperlinks>
  <pageMargins left="0.7" right="0.7" top="0.75" bottom="0.75"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Props1.xml><?xml version="1.0" encoding="utf-8"?>
<ds:datastoreItem xmlns:ds="http://schemas.openxmlformats.org/officeDocument/2006/customXml" ds:itemID="{148267B0-4CF5-48A7-B543-CDE45AF0A8FC}"/>
</file>

<file path=customXml/itemProps2.xml><?xml version="1.0" encoding="utf-8"?>
<ds:datastoreItem xmlns:ds="http://schemas.openxmlformats.org/officeDocument/2006/customXml" ds:itemID="{14B9AD58-A794-48C7-986D-80A9DB4B3205}"/>
</file>

<file path=customXml/itemProps3.xml><?xml version="1.0" encoding="utf-8"?>
<ds:datastoreItem xmlns:ds="http://schemas.openxmlformats.org/officeDocument/2006/customXml" ds:itemID="{6E3A9028-3436-4B29-A420-9ED5B8A085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Ashwin Djorai</cp:lastModifiedBy>
  <cp:revision/>
  <dcterms:created xsi:type="dcterms:W3CDTF">2026-03-12T13:25:44Z</dcterms:created>
  <dcterms:modified xsi:type="dcterms:W3CDTF">2026-08-18T07:49:22Z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