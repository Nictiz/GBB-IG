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onnogieling/dev/GBB-IG/input/requirements/"/>
    </mc:Choice>
  </mc:AlternateContent>
  <xr:revisionPtr revIDLastSave="0" documentId="13_ncr:1_{4ACC6E45-F058-3147-A954-25D8F093EA11}" xr6:coauthVersionLast="47" xr6:coauthVersionMax="47" xr10:uidLastSave="{00000000-0000-0000-0000-000000000000}"/>
  <bookViews>
    <workbookView xWindow="0" yWindow="660" windowWidth="29040" windowHeight="15720" activeTab="3" xr2:uid="{71855D19-E937-4D4D-85D2-5BCEBB780255}"/>
  </bookViews>
  <sheets>
    <sheet name="Uitleg" sheetId="5" r:id="rId1"/>
    <sheet name="Concept" sheetId="2" r:id="rId2"/>
    <sheet name="Bronnen" sheetId="6" r:id="rId3"/>
    <sheet name="Informatiebehoefte" sheetId="1" r:id="rId4"/>
    <sheet name="Ongedekte informatiebehoefte" sheetId="3" r:id="rId5"/>
    <sheet name="Overwegingen voor de toekomst" sheetId="4" r:id="rId6"/>
    <sheet name="Basismodel" sheetId="7" r:id="rId7"/>
    <sheet name="Ter discussie"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5" l="1"/>
  <c r="B1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tc={CD16CA43-E215-4DCF-A4C0-2D380EB1C0BC}</author>
  </authors>
  <commentList>
    <comment ref="C5" authorId="0" shapeId="0" xr:uid="{CD16CA43-E215-4DCF-A4C0-2D380EB1C0BC}">
      <text>
        <t xml:space="preserve">[Threaded comment]
Your version of Excel allows you to read this threaded comment; however, any edits to it will get removed if the file is opened in a newer version of Excel. Learn more: https://go.microsoft.com/fwlink/?linkid=870924
Comment:
    Uit Scope en Usage van Condition FHIR R4 v4.0.1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tc={B3533A99-0CB6-4646-9417-20A66FEFD573}</author>
    <author>tc={20B2A504-5F6F-4996-9921-E2104F9548D8}</author>
    <author>tc={DC3A08E9-01DD-48D1-B7F5-357810DE5428}</author>
    <author>tc={035A58F6-6A6B-4788-883F-2110C3BA07ED}</author>
    <author>tc={00D6E7CD-1959-4C9A-8BC1-A1E323A0102F}</author>
    <author>tc={065B39A6-9843-49BF-88E8-0C2BF95F8D00}</author>
  </authors>
  <commentList>
    <comment ref="K20" authorId="0" shapeId="0" xr:uid="{B3533A99-0CB6-4646-9417-20A66FEFD573}">
      <text>
        <t>[Threaded comment]
Your version of Excel allows you to read this threaded comment; however, any edits to it will get removed if the file is opened in a newer version of Excel. Learn more: https://go.microsoft.com/fwlink/?linkid=870924
Comment:
    1. Actief
2. Inactief
Kortere waardelijst</t>
      </text>
    </comment>
    <comment ref="K26" authorId="1" shapeId="0" xr:uid="{20B2A504-5F6F-4996-9921-E2104F9548D8}">
      <text>
        <t>[Threaded comment]
Your version of Excel allows you to read this threaded comment; however, any edits to it will get removed if the file is opened in a newer version of Excel. Learn more: https://go.microsoft.com/fwlink/?linkid=870924
Comment:
    Wel in metadata!</t>
      </text>
    </comment>
    <comment ref="E29" authorId="2" shapeId="0" xr:uid="{DC3A08E9-01DD-48D1-B7F5-357810DE5428}">
      <text>
        <t>[Threaded comment]
Your version of Excel allows you to read this threaded comment; however, any edits to it will get removed if the file is opened in a newer version of Excel. Learn more: https://go.microsoft.com/fwlink/?linkid=870924
Comment:
    Onduidelijk welke waardelijst gehandeerd moet worden</t>
      </text>
    </comment>
    <comment ref="B31" authorId="3" shapeId="0" xr:uid="{035A58F6-6A6B-4788-883F-2110C3BA07ED}">
      <text>
        <t>[Threaded comment]
Your version of Excel allows you to read this threaded comment; however, any edits to it will get removed if the file is opened in a newer version of Excel. Learn more: https://go.microsoft.com/fwlink/?linkid=870924
Comment:
    ter discussie</t>
      </text>
    </comment>
    <comment ref="C31" authorId="4" shapeId="0" xr:uid="{00D6E7CD-1959-4C9A-8BC1-A1E323A0102F}">
      <text>
        <t>[Threaded comment]
Your version of Excel allows you to read this threaded comment; however, any edits to it will get removed if the file is opened in a newer version of Excel. Learn more: https://go.microsoft.com/fwlink/?linkid=870924
Comment:
    ter discussie</t>
      </text>
    </comment>
    <comment ref="C39" authorId="5" shapeId="0" xr:uid="{065B39A6-9843-49BF-88E8-0C2BF95F8D00}">
      <text>
        <t>[Threaded comment]
Your version of Excel allows you to read this threaded comment; however, any edits to it will get removed if the file is opened in a newer version of Excel. Learn more: https://go.microsoft.com/fwlink/?linkid=870924
Comment:
    ter discussie</t>
      </text>
    </comment>
  </commentList>
</comments>
</file>

<file path=xl/sharedStrings.xml><?xml version="1.0" encoding="utf-8"?>
<sst xmlns="http://schemas.openxmlformats.org/spreadsheetml/2006/main" count="502" uniqueCount="391">
  <si>
    <t>Veld</t>
  </si>
  <si>
    <t>Beschrijving</t>
  </si>
  <si>
    <t>Conceptbeschrijving</t>
  </si>
  <si>
    <t>[De definitie of beschrijving van het concept.]</t>
  </si>
  <si>
    <t>Een klinische aandoening, probleem, diagnose of andere gebeurtenis, situatie, kwestie of klinisch concept dat aanleiding geeft tot zorg.</t>
  </si>
  <si>
    <t>Doel</t>
  </si>
  <si>
    <t>[De doelen en redenen om het concept vast te leggen en/of uit te wisselen.]</t>
  </si>
  <si>
    <t>Het doel van het concept is het eenduidig vastleggen en uitwisselen van een klinisch relevante diagnose, aandoening, gezondheidstoestand of ander zorgpunt van een patiënt. Dit ondersteunt nader onderzoek, behandeling, monitoring en overdracht van zorg, ook wanneer het gaat om een niet-negatieve gezondheidstoestand, zoals zwangerschap, of om een toestand die het gevolg is van een eerdere ingreep.</t>
  </si>
  <si>
    <t>Gebruiksscenario(’s)</t>
  </si>
  <si>
    <t>[Geeft aan in welke context(en) het concept wordt gebruikt. Geef voorbeelden van gebruik in informatiestandaarden.]</t>
  </si>
  <si>
    <t>Het kan worden gebruikt om informatie vast te leggen over een ziekte of aandoening die is vastgesteld op basis van klinische redenering over pathologische en pathofysiologische bevindingen (diagnose); over gezondheidsproblemen of -situaties die een zorgverlener als schadelijk of potentieel schadelijk beschouwt en die nader onderzoek en behandeling vereisen (probleem); of over andere gezondheidsproblemen of -situaties die mogelijk voortdurende monitoring en/of behandeling behoeven (gezondheidsprobleem/-zorgpunt).
De 'Condition'-resource kan worden gebruikt om een ​​bepaalde gezondheidstoestand van een patiënt vast te leggen die doorgaans niet als een negatieve uitkomst wordt beschouwd, zoals zwangerschap. De 'Condition'-resource kan ook worden gebruikt om een ​​aandoening of toestand vast te leggen die volgt op een ingreep, zoals de status van 'onderbeenamputatiepatiënt' na een amputatieprocedure.
Spoedsamenvatting 2.2.0, bij het opstellen van de episodes en problemen 
BgZ-MSZ: bij klachten en diagnoses
eOverdracht: problemen
Eerstelijnszorg: problemen</t>
  </si>
  <si>
    <t>Representatie</t>
  </si>
  <si>
    <t>[Beschrijf hier wat er voor de dossiervorming belangrijk is rondom de levenscyclus en instantiaties van het concept.]</t>
  </si>
  <si>
    <t>Een instantiatie beschrijft één klinisch relevante conditie bij een patiënt. Veranderingen in status of zekerheid worden in dezelfde registratie bijgewerkt; voor een andere conditie of afzonderlijke episode wordt een nieuwe instantiatie gemaakt. Beëindigde of weerlegde condities blijven als historie beschikbaar.</t>
  </si>
  <si>
    <t>Alias(sen)</t>
  </si>
  <si>
    <t>[Alle bekende synoniemen voor het concept.]</t>
  </si>
  <si>
    <t>episode, diagnose, aandoening, probleem, klacht(als het geen onderdeel is van de aandoening), functionele beperking, complicatie, symptoom(als het geen onderdeel is van de aandoening)</t>
  </si>
  <si>
    <t>Juist gebruik</t>
  </si>
  <si>
    <t>[Beschrijf hier waarvoor het concept wél bedoeld is].</t>
  </si>
  <si>
    <t>Het concept is bedoeld voor het vastleggen van een klinisch relevante aandoening, diagnose, probleem, gezondheidstoestand, risico of zorgpunt dat beoordeling, behandeling of monitoring vereist.</t>
  </si>
  <si>
    <t>Onjuist gebruik</t>
  </si>
  <si>
    <t>[Beschrijf hier waar het concept niet voor bedoeld is, en geef waar mogelijk aan welk concept er wel geschikt voor is.]</t>
  </si>
  <si>
    <t>Het concept is niet bedoeld voor losse metingen, bevindingen of kortdurende symptomen; gebruik hiervoor Observation. Het is ook niet bedoeld om de uitgevoerde ingreep zelf vast te leggen; gebruik daarvoor Procedure. Voor allergieën en intoleranties die klinische beslisondersteuning moeten activeren, is AllergyIntolerance het aangewezen concept. Een blijvende toestand na een ingreep kan wel als conditie worden vastgelegd.</t>
  </si>
  <si>
    <t>Referenties</t>
  </si>
  <si>
    <t>[Relevante bronstandaarden of informatiebronnen die het ontwerp en de scope van het concept hebben beïnvloed.]</t>
  </si>
  <si>
    <t>Condition - FHIR v4.0.1</t>
  </si>
  <si>
    <t>ART-DECOR-id</t>
  </si>
  <si>
    <t>[Het id op ART-DECOR van het afsprakenmodel, bv 2.16.840.1.113883.2.4.3.11.60.153.4.12/2026-06-04T00:00:00]</t>
  </si>
  <si>
    <t>2.16.840.1.113883.2.4.3.11.60.153.4.30/2026-07-29T00:00:00</t>
  </si>
  <si>
    <t>Keuze Basismodel</t>
  </si>
  <si>
    <t>Concept-sheet is opgemaakt met spelregel: https://nictiz.atlassian.net/browse/DAGIM-72</t>
  </si>
  <si>
    <t>Type bron</t>
  </si>
  <si>
    <t>Naam bron</t>
  </si>
  <si>
    <t>Toelichting</t>
  </si>
  <si>
    <t>Informatiebehoefte verwerkt in sheet 'informatiebeheofte'</t>
  </si>
  <si>
    <t>Link naar bron informatie</t>
  </si>
  <si>
    <t>Internationaal</t>
  </si>
  <si>
    <t>EHDS Logical Model EHDSCondition version 1.0.0</t>
  </si>
  <si>
    <t>Volgens DAGIM-20 moeten alle elementen van de EHDS logical model opgenomen worden als informatiebehoefte.</t>
  </si>
  <si>
    <t>Ja</t>
  </si>
  <si>
    <t>Condition model - EHDS Logical Information Models v1.0.0
https://health.ec.europa.eu/publications/ehn-guideline-patient-summary_en</t>
  </si>
  <si>
    <t>FHIR R4 resource Condition</t>
  </si>
  <si>
    <t>Volgens DAGIM-19 is het nodig dat alle verplichte elementen van de FHIR resource opgenomen worden als informatiebehoefte.</t>
  </si>
  <si>
    <t xml:space="preserve">openEHR archetype Problem/Diagnosis </t>
  </si>
  <si>
    <t>Volgens DAGIM-21 l is het nodig dat alle verplichte elementen van de openEHR archetype opgenomen worden als informatiebehoefte.</t>
  </si>
  <si>
    <t>Clinical Knowledge Manager</t>
  </si>
  <si>
    <t>Zib</t>
  </si>
  <si>
    <t>Zib Diagnose v2.0 2024</t>
  </si>
  <si>
    <t>Geen baseline. Onduidelijk of deze meegenomen moet worden. Is het nodig om AandoeningOfGesteldheid en Symptoom uit 2024 ook mee te nemen?</t>
  </si>
  <si>
    <t>Diagnose-v2.0(2024NL) - Zorginformatiebouwstenen</t>
  </si>
  <si>
    <t>Zib Probleem v4.4 2020</t>
  </si>
  <si>
    <t>Baseline</t>
  </si>
  <si>
    <t>Probleem-v4.4(2020NL) - Zorginformatiebouwstenen</t>
  </si>
  <si>
    <t>Zib Probleem V4.1 2017</t>
  </si>
  <si>
    <t>Probleem-v4.1(2017NL) - Zorginformatiebouwstenen</t>
  </si>
  <si>
    <t>Informatiestandaard</t>
  </si>
  <si>
    <t>Informatiestandaard BgZ-MSZ 2.0.2</t>
  </si>
  <si>
    <t>Volgens de DoD Q3 moet dit opgenomen worden in deze iteratie van de GBB. De informatiebehoefte is identiek aan zib 2017 op één element na. Bij dit element staat de informatiestandaard als herkomst beschreven.</t>
  </si>
  <si>
    <t>Dataset (voor transactie) 2.16.840.1.113883.2.4.3.11.60.42.4.42 - Sturen</t>
  </si>
  <si>
    <t>Informatiestandaard Acute Zorg 2.2.0 (Spoedsamenvatting usecase)</t>
  </si>
  <si>
    <t>Volgens de DoD Q3 moet dit opgenomen worden in deze iteratie van de GBB</t>
  </si>
  <si>
    <t>https://referentiemodel.nhg.org/
https://www.nhg.org/wp-content/uploads/2023/02/Richtlijn-Gegevensuitwisseling-acute-zorg-versie-4-2022.pdf</t>
  </si>
  <si>
    <t>Nummer</t>
  </si>
  <si>
    <t>Naam</t>
  </si>
  <si>
    <t>data-element</t>
  </si>
  <si>
    <t>Omschrijving</t>
  </si>
  <si>
    <t>Variabiliteit</t>
  </si>
  <si>
    <t>Aanwezigheid</t>
  </si>
  <si>
    <t>Verleden/heden/toekomst</t>
  </si>
  <si>
    <t>Herkomst</t>
  </si>
  <si>
    <t>Komt het in FHIR R4 voor?</t>
  </si>
  <si>
    <t>Komt het in openEHR voor?</t>
  </si>
  <si>
    <t>Komt voor in ZIBProbleem-v4.4? (2020)</t>
  </si>
  <si>
    <t>Komt voor in ZIBProbleem? (2017)</t>
  </si>
  <si>
    <t>Komt voor in ZIBProbleem? (2024)</t>
  </si>
  <si>
    <t>Opmerking</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</si>
  <si>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</si>
  <si>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</si>
  <si>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</si>
  <si>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</si>
  <si>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CON-1</t>
  </si>
  <si>
    <t>Patient</t>
  </si>
  <si>
    <t>Ja (subject)</t>
  </si>
  <si>
    <t>Ja (Reference model: subject of care) 1:1</t>
  </si>
  <si>
    <t>Nee, Kenmerken die relevant zijn voor een eenduidige definitie van het concept vormen de dataelementen van de zib. Een zib moet alle mogelijke eigenschappen van dat concept vatten voor zover relevant in gebruik van informatiesystemen binnen het zorg- en gezondheidsdomein
Kenmerken die wel relevant zijn voor een compleet begrip, maar ook los van het concept herbruikbaar zijn worden als aparte zib middels een relaties vormgegeven</t>
  </si>
  <si>
    <t>CON-1.1</t>
  </si>
  <si>
    <t>Subject</t>
  </si>
  <si>
    <t>De patiënt waarover de gezondheidstoestand gaat</t>
  </si>
  <si>
    <t>Verwijzing naar Patient</t>
  </si>
  <si>
    <t>1..1</t>
  </si>
  <si>
    <t>EHDS LIM EHDSCondition 1.0.0</t>
  </si>
  <si>
    <t>CON-1.2</t>
  </si>
  <si>
    <t>Subject of care</t>
  </si>
  <si>
    <t>De persoon waarnaar in deze evaluatie wordt verwezen, is doorgaans de persoon op wie het medisch dossier betrekking heeft, oftewel de patiënt. In bepaalde omstandigheden kan het echter ook om anderen gaan, bijvoorbeeld een orgaandonor, een foetus of een familielid.</t>
  </si>
  <si>
    <t>Vewijzing naar Subject of Care</t>
  </si>
  <si>
    <t>openEHR Problem/Diagnosis 1.7.4</t>
  </si>
  <si>
    <t>CON-1.3</t>
  </si>
  <si>
    <t>Geeft aan aan welke patiënt of groep het dossier in kader van gezondheidstoestand is gekoppeld.</t>
  </si>
  <si>
    <t>Verwijziging naar Patient of Groep</t>
  </si>
  <si>
    <t>CON-1.4</t>
  </si>
  <si>
    <t>Onderwerp</t>
  </si>
  <si>
    <t>NL-behoefte vanuit zib-2017:Degene op wie de informatie betrekking heeft. Vaak zal dit de patiënt zijn, maar vooral bij kleine kinderen kan het informatie over de ouder of verzorger zijn. Vooral bij de verpleegkundige overdrachten speelt b.v. bekwaamheid en betrokkenheid van mantelzorgers een rol.
NL-behoefte komt te vervallen in zib- 2020:  impliciet is dit altijd de patiënt. In de sporadische gevallen dat de patiënt niet het onderwerp is, is dit in de betreffende zibs al expliciet gemodelleerd, zoals bijvoorbeeld in FamilieAnamnese.</t>
  </si>
  <si>
    <t>ZIB 2017  (https://www.zibs.nl/images/2/2a/Architectuurdocument_Registratie_aan_de_bron_-_Volume_1_v1.1.pdf) 
Spoedsamenvatting 2.2.0</t>
  </si>
  <si>
    <t>CON-2</t>
  </si>
  <si>
    <t>Identificatie van object gezondheidstoestand</t>
  </si>
  <si>
    <t>Om het object uniek te identificeren in systemen</t>
  </si>
  <si>
    <t>CON-2.1</t>
  </si>
  <si>
    <t>header.identifier</t>
  </si>
  <si>
    <t>Business identifier van het object</t>
  </si>
  <si>
    <t>0..*</t>
  </si>
  <si>
    <t>Ja (identifier)</t>
  </si>
  <si>
    <t>Ja (architype.id) maar komt niet voor in de archetypen, maar komt naar voren bij het opslaan (originating_system_item_ids : DV_IDENTIFIER). is 0..*</t>
  </si>
  <si>
    <t>Nee</t>
  </si>
  <si>
    <t xml:space="preserve">Nee </t>
  </si>
  <si>
    <t>CON-2.2</t>
  </si>
  <si>
    <t>Identificatie</t>
  </si>
  <si>
    <t>Unieke identificatie van één specifieke episode. De unieke identificatie wordt gebruikt om één specifieke episode te herkennen binnen een lijst met alle episodes van een patiënt.</t>
  </si>
  <si>
    <t>1..*</t>
  </si>
  <si>
    <t>Spoedsamenvatting 2.2.0</t>
  </si>
  <si>
    <t>CON-3</t>
  </si>
  <si>
    <t>Auteur</t>
  </si>
  <si>
    <t>De auteur van de informatie over de gezondheidstoestand.
NL-behoefte voor auteur, informatiebron en vastlegger komt uit 'registratie aan de bron' voor zib2017.
NL-behoefte komt te vervallen in zib2020</t>
  </si>
  <si>
    <t>0..* Choice of types</t>
  </si>
  <si>
    <r>
      <rPr>
        <sz val="11"/>
        <color rgb="FF000000"/>
        <rFont val="Aptos Narrow"/>
        <scheme val="minor"/>
      </rPr>
      <t xml:space="preserve">Ja (recorder </t>
    </r>
    <r>
      <rPr>
        <sz val="11"/>
        <color rgb="FFFF0000"/>
        <rFont val="Aptos Narrow"/>
        <scheme val="minor"/>
      </rPr>
      <t>?</t>
    </r>
    <r>
      <rPr>
        <sz val="11"/>
        <color rgb="FF000000"/>
        <rFont val="Aptos Narrow"/>
        <scheme val="minor"/>
      </rPr>
      <t>, 0..1)</t>
    </r>
  </si>
  <si>
    <t>Ja (RM:other_participations)</t>
  </si>
  <si>
    <t>Auteur: niet voor elke zib klinisch relevant, en bovendien niet voor elke zib duidelijk wat hiermee bedoeld wordt, met name in relatie tot bron van de informatie en de vastlegger in het dossier.</t>
  </si>
  <si>
    <t>JA, auteur als basiselement</t>
  </si>
  <si>
    <t>CON-3.1</t>
  </si>
  <si>
    <t>zorgverlener als auteur</t>
  </si>
  <si>
    <t>authorEHDSHealthProfessional</t>
  </si>
  <si>
    <t xml:space="preserve">
De zorgverlener die de informatie over de conditie invoert/registreert
NL-behoefte: Waarom/meerwaarde vanuit de spoedsamenvatting; om verschil te maken tussen wie registreert en wie is verantwoordelijke dossierhouder; Er kunnen verschillende zorgverleners werken bij dezelfde organisatie -&gt; niet bekend of dit een informatiebehoefte is uit het zorgveld of uit HL7standaard V3 CDA (custiodian en author) 
</t>
  </si>
  <si>
    <t>Verwijziging naar EHDSHealthProfessional</t>
  </si>
  <si>
    <t>EHDS LIM EHDSCondition 1.0.0, Zib 2017 (https://www.zibs.nl/images/2/2a/Architectuurdocument_Registratie_aan_de_bron_-_Volume_1_v1.1.pdf) 
Spoedsamenvatting 2.2.0</t>
  </si>
  <si>
    <t>Ja (recorder = Practitioner of PractitionerRole)</t>
  </si>
  <si>
    <t>ja</t>
  </si>
  <si>
    <t>CON-3.2</t>
  </si>
  <si>
    <t>organisatie als auteur</t>
  </si>
  <si>
    <t>authorEHDSOrganisation</t>
  </si>
  <si>
    <t xml:space="preserve">De organisatie waaruit de informatie over de conditie afkomstig is.
NL-behoefte: waarom/meerwaarde vanuit de spoedsamenvatting: om verschil te maken tussen wie registreert en wie is verantwoordelijke dossierhouder; als in er kunnen verschillende zorgverleners werken bij dezelfde organisatie.-&gt; niet bekend of dit een informatiebehoefte is uit het zorgveld of uit  HL7standaard V3 CDA (custiodian en author) 
Bij het sturen van verwijzingen, rapportages, logistieke berichten en ambulanceberichten ligt het initiatief voor gegevensuitwisseling bij de brondossierhouder (bron: https://www.nhg.org/wp-content/uploads/2023/02/Richtlijn-Gegevensuitwisseling-acute-zorg-versie-4-2022.pdf ). </t>
  </si>
  <si>
    <t>Verwijziging naar EHDSOrganization</t>
  </si>
  <si>
    <t>EHDS LIM EHDSCondition 1.0.0
spoedsamenvatting 2.2.0</t>
  </si>
  <si>
    <t>Ja (recorder.PracticionerRole.Organisation)</t>
  </si>
  <si>
    <t>CON-3.3</t>
  </si>
  <si>
    <t>apparaat als auteur</t>
  </si>
  <si>
    <t>authorEHDSDevice</t>
  </si>
  <si>
    <t>Het apparaat waar de informatie over de conditie vandaan komt</t>
  </si>
  <si>
    <t>Verwijziging naar EHDSDevice</t>
  </si>
  <si>
    <t>CON-3.4</t>
  </si>
  <si>
    <t>contactpersoon als auteur</t>
  </si>
  <si>
    <t>auteur</t>
  </si>
  <si>
    <r>
      <rPr>
        <sz val="11"/>
        <color rgb="FF000000"/>
        <rFont val="Aptos Narrow"/>
        <scheme val="minor"/>
      </rPr>
      <t xml:space="preserve">NL-behoefte zib2017: Degene die de informatie heeft vastgelegd. Afhankelijk van het informatiesysteem waarin de gegevens vastgelegd zijn kan dit zijn de patiënt, een </t>
    </r>
    <r>
      <rPr>
        <b/>
        <sz val="11"/>
        <color rgb="FF000000"/>
        <rFont val="Aptos Narrow"/>
        <scheme val="minor"/>
      </rPr>
      <t xml:space="preserve">contactpersoon </t>
    </r>
    <r>
      <rPr>
        <sz val="11"/>
        <color rgb="FF000000"/>
        <rFont val="Aptos Narrow"/>
        <scheme val="minor"/>
      </rPr>
      <t>of de zorgverlener.  Het is  een basiselementen. Deze zijn in de informatiemodellen van de afzonderlijke bouwstenen in de meeste gevallen niet opgenomen, maar worden wel verondersteld aanwezig te zijn. Het betreft concepten die meer technisch van aard zijn, vaak geen of weinig klinische relevantie hebben, maar voor de eenduidigheid en herleidbaarheid van de gegevens noodzakelijk zijn.
NL-behoefte komt te vervallen in zib2020</t>
    </r>
  </si>
  <si>
    <t>Verwijzing naar patient, zorgverlener, contactpersoon</t>
  </si>
  <si>
    <t>Zib 2017 (https://www.zibs.nl/images/2/2a/Architectuurdocument_Registratie_aan_de_bron_-_Volume_1_v1.1.pdf)</t>
  </si>
  <si>
    <t>nee</t>
  </si>
  <si>
    <t>CON-4</t>
  </si>
  <si>
    <t>Datum en evt. tijd van registreren</t>
  </si>
  <si>
    <t>CON-4.1</t>
  </si>
  <si>
    <t>header.date</t>
  </si>
  <si>
    <t>Datum en eventueel tijdstip van opstellen/uitgeven</t>
  </si>
  <si>
    <t>DatumTijd</t>
  </si>
  <si>
    <t>0..1</t>
  </si>
  <si>
    <t>Ja (recordedDate)</t>
  </si>
  <si>
    <t xml:space="preserve">ja. Opmerking Wouter bij AllergieIntolerantie: metadata komt in elk archetype voor. </t>
  </si>
  <si>
    <t>CON-4.2</t>
  </si>
  <si>
    <t xml:space="preserve">zorgepisode.startdatum </t>
  </si>
  <si>
    <t>HIS-behoefte: Dit komt overeen met de tijd dat de concern in het patiëntendossier terecht is gekomen. HIS-referentiemodel geeft aan : startdatum episode: DatumTijd=systeemdatum. Datum van het eerste contact van de patiënt met de medisch medewerker over de gezondheidskwestie van de episode. De startdatum betreft de registratie van het eerste item in de episode; cardinaliteit 1</t>
  </si>
  <si>
    <t>IVL_TS</t>
  </si>
  <si>
    <t>Spoedsamenvatting 2.2.0 (bron: KEZO Overdracht Concern, 2.16.840.1.113883.2.4.3.11.60.66.10.212)</t>
  </si>
  <si>
    <t>CON-5</t>
  </si>
  <si>
    <t>Status</t>
  </si>
  <si>
    <t xml:space="preserve">Status van het object </t>
  </si>
  <si>
    <t>CON-5.1</t>
  </si>
  <si>
    <t>status</t>
  </si>
  <si>
    <t>De status beschrijft in welke staat het probleem zich bevindt:
Actieve problemen zijn problemen waarbij de patiënt symptomen ervaart of waarvoor bewijs bestaat.
Als de aandoening is afgenomen, moet de klinische status inactief, opgelost of in remissie zijn.
Problemen met de status 'Inactief' verwijzen naar problemen die de patiënt niet langer beïnvloeden of waarvan het bestaan ​​niet langer is aangetoond.
Requirement: eHN Guideline HDR (v1.1): A.2.6.1.7; PS (v3.4) A.2.2.2.1</t>
  </si>
  <si>
    <r>
      <rPr>
        <sz val="11"/>
        <color rgb="FF000000"/>
        <rFont val="Aptos Narrow"/>
      </rPr>
      <t xml:space="preserve">Waardelijst (preferred): HL7 Condition Clinical Status Codes (active, recurrence, relapse, inactive, remission, resolved, </t>
    </r>
    <r>
      <rPr>
        <sz val="11"/>
        <color rgb="FFFF0000"/>
        <rFont val="Aptos Narrow"/>
      </rPr>
      <t>unknown?</t>
    </r>
    <r>
      <rPr>
        <sz val="11"/>
        <color rgb="FF000000"/>
        <rFont val="Aptos Narrow"/>
      </rPr>
      <t xml:space="preserve">) </t>
    </r>
    <r>
      <rPr>
        <sz val="11"/>
        <color rgb="FFFF0000"/>
        <rFont val="Aptos Narrow"/>
      </rPr>
      <t>PAT-301</t>
    </r>
  </si>
  <si>
    <t>Ja (clinicalStatus)</t>
  </si>
  <si>
    <t>Ja  0..1 (status) Problem/Diagnosis qualifier: Active/inactive met current/pass, mogelijk ook gecombineerd met level of control: Controlled Indeterminate Not controlled. En 'Remission status' Vraag aan Wouter: is dit allemaal te mappen op FHIR-uitwisseling?</t>
  </si>
  <si>
    <t>Ja, ProbleemStatus</t>
  </si>
  <si>
    <t xml:space="preserve">https://nictiz.atlassian.net/browse/PAT-301 </t>
  </si>
  <si>
    <t>CON-5.2</t>
  </si>
  <si>
    <t>HIS-behoefte: vanuit episode. De status is actief of open, danwel gesloten. bijbehorende problemen worden niet gesloten, maar episode wel. Indien een probleem evolueert, bijvoorbeeld van hoesten naar longontsteking, dan verandert de episodenaam.
Zib 2017: De probleemstatus beschrijft de toestand van het probleem: Actuele problemen zijn problemen waar de patiënt symptomen van ondervindt of waar bewijsmateriaal voor is.
Problemen met status 'Niet actueel' verwijzen naar problemen waar de patiënt geen last meer van heeft of waar geen aanwijzingen meer voor zijn.</t>
  </si>
  <si>
    <t>spoedsamenvatting: open, gesloten, gesloten met attentiewaarde (= active/remission/resolved; episodes uit het verleden die niet meer actueel zijn, maar die de huisarts toch in beeld wil houden., bijvoorbeeld hartinfact in verleden.)
ZIB 2017-ZIB2020: actueel, niet actueel
ZIB2024: aandoeningOfGesteldheid:Asymptomatisch, Verbeterd, Verslechterd, Onveranderd, Progressief, Opvlammend, Niet meer aanwezig</t>
  </si>
  <si>
    <t>Spoedsamenvatting 2.2.0; Zib 2017; zib 2020</t>
  </si>
  <si>
    <t>CON-6</t>
  </si>
  <si>
    <t>Bron</t>
  </si>
  <si>
    <t>CON-6.1</t>
  </si>
  <si>
    <t>Source</t>
  </si>
  <si>
    <t>De bron van de informatie over de conditie, bijvoorbeeld de patiënt zelf of zijn/haar naaste. Gebruikt in gevallen waarin de patiënt de informatie zelf heeft opgesteld of de auteur door de patiënt verstrekte informatie heeft aangeleverd.</t>
  </si>
  <si>
    <t xml:space="preserve">Gecodeerde concept </t>
  </si>
  <si>
    <r>
      <rPr>
        <sz val="11"/>
        <color rgb="FF000000"/>
        <rFont val="Aptos Narrow"/>
        <scheme val="minor"/>
      </rPr>
      <t>Ja (asserter</t>
    </r>
    <r>
      <rPr>
        <sz val="11"/>
        <color rgb="FFFF0000"/>
        <rFont val="Aptos Narrow"/>
        <scheme val="minor"/>
      </rPr>
      <t>?</t>
    </r>
    <r>
      <rPr>
        <sz val="11"/>
        <color rgb="FF000000"/>
        <rFont val="Aptos Narrow"/>
        <scheme val="minor"/>
      </rPr>
      <t xml:space="preserve">) </t>
    </r>
    <r>
      <rPr>
        <sz val="11"/>
        <color rgb="FFFF0000"/>
        <rFont val="Aptos Narrow"/>
        <scheme val="minor"/>
      </rPr>
      <t>PAT-306</t>
    </r>
  </si>
  <si>
    <t>Ja (Reference model: Information Provider) 0..1 Dit kan de patiënt zijn; een vertegenwoordiger van de patiënt, bijvoorbeeld een ouder of voogd; de behandelaar of een apparaat/software.</t>
  </si>
  <si>
    <t>nee, niet voor elke zib klinisch relevant, en bovendien niet voor elke zib duidelijk wat hiermee bedoeld wordt, met name in relatie tot het element Auteur.</t>
  </si>
  <si>
    <t>ja, informatiebron als basiselement</t>
  </si>
  <si>
    <t>ja met zib registratiegegevens</t>
  </si>
  <si>
    <t>[PAT-306] header.source mapping FHIR condition.asserter - BITS - Jira</t>
  </si>
  <si>
    <t>CON-6.2</t>
  </si>
  <si>
    <t>Information Provider</t>
  </si>
  <si>
    <t xml:space="preserve">Een persoon of instantie die de informatie heeft verstrekt. Dit kan de patiënt zijn; een vertegenwoordiger van de patiënt, bijvoorbeeld een ouder of voogd; de behandelaar of een apparaat/software. Het wordt over het algemeen alleen gebruikt wanneer de informatieverstrekker expliciet moet worden vermeld 
</t>
  </si>
  <si>
    <t>party proxy. referentie na een ID van een:
* the patient
* a patient agent, e.g. parent, guardian
* the clinician
* a device or software</t>
  </si>
  <si>
    <t>CON-6.3</t>
  </si>
  <si>
    <t>Informatiebron</t>
  </si>
  <si>
    <r>
      <rPr>
        <sz val="11"/>
        <color rgb="FF000000"/>
        <rFont val="Aptos Narrow"/>
      </rPr>
      <t>NL-behoefte zib 2017: Degene die de informatie heeft verschaft en instaat voor de juistheid ervan. Dit is niet altijd zorgverlener die de gegevens invoert in het informatiesysteem, maar het kan ook de patiënt zijn of een andere betrokkene zoals bv een ouder, mantelzorger of voogd.
NL-behoefte in zib2020 komt te vervallen: niet voor elke zib klinisch relevant, en bovendien niet voor elke zib duidelijk wat hiermee bedoeld wordt, met name in relatie tot het element Auteur.
NL-behoefte zib2024: Indien de vastgelegde informatie niet door de behandelend arts zelf is vastgesteld, kan de bron van de informatie vastgelegd worden</t>
    </r>
    <r>
      <rPr>
        <sz val="11"/>
        <color rgb="FFFF0000"/>
        <rFont val="Aptos Narrow"/>
      </rPr>
      <t xml:space="preserve">. of wijzevanverkrijgen?
</t>
    </r>
    <r>
      <rPr>
        <sz val="11"/>
        <color rgb="FF000000"/>
        <rFont val="Aptos Narrow"/>
      </rPr>
      <t>Geen behoefte vanuit spoedsamenvatting om de bron vast te leggen; bron van de informatie zoals beschreven in de LIM is mogelijk wat anders dan bronsysteem 'wie is eigenaar van de vastgestelde aandoening'</t>
    </r>
  </si>
  <si>
    <r>
      <rPr>
        <sz val="11"/>
        <color rgb="FF000000"/>
        <rFont val="Aptos Narrow"/>
      </rPr>
      <t xml:space="preserve">zib2017:patient, contactpersoon, zorgverlener
zib2020:geen
zib2024:patient, zorgverlener, contactpersoon </t>
    </r>
    <r>
      <rPr>
        <sz val="11"/>
        <color rgb="FFFF0000"/>
        <rFont val="Aptos Narrow"/>
      </rPr>
      <t xml:space="preserve">of vrije tekst
</t>
    </r>
    <r>
      <rPr>
        <sz val="11"/>
        <color rgb="FF000000"/>
        <rFont val="Aptos Narrow"/>
      </rPr>
      <t>spoedsamenvatting: geen</t>
    </r>
  </si>
  <si>
    <t>Zib 2017 https://www.zibs.nl/images/2/2a/Architectuurdocument_Registratie_aan_de_bron_-_Volume_1_v1.1.pdf
ZIB2020
ZIB2024 https://www.zibs.nl/wiki/RegistratieGegevens-v1.1.2(2024NL)
spoedsamenvatting</t>
  </si>
  <si>
    <t>CON-7</t>
  </si>
  <si>
    <t>Taal</t>
  </si>
  <si>
    <t>De taal waarin het object is geschreven.De taal wordt aangegeven met de IETF-taalcode.</t>
  </si>
  <si>
    <t>Waardelijst BCP 47</t>
  </si>
  <si>
    <t>Ja (language)</t>
  </si>
  <si>
    <r>
      <t xml:space="preserve">Ja
</t>
    </r>
    <r>
      <rPr>
        <b/>
        <sz val="11"/>
        <color theme="1"/>
        <rFont val="Aptos Narrow"/>
        <family val="2"/>
        <scheme val="minor"/>
      </rPr>
      <t xml:space="preserve">Opmerking Wouter bij AllergieIntolerantie: metadata komt in elk archetype voor. </t>
    </r>
  </si>
  <si>
    <t>CON-8</t>
  </si>
  <si>
    <t>Naam van de conditie</t>
  </si>
  <si>
    <t>Ja (code, 0..1)</t>
  </si>
  <si>
    <t>Ja (Problem / Diagnosis name)</t>
  </si>
  <si>
    <t>Ja, ProbleemNaam</t>
  </si>
  <si>
    <t>CON-8.1</t>
  </si>
  <si>
    <t>problem</t>
  </si>
  <si>
    <t>Code die de aandoening, het probleem of de diagnose identificeert</t>
  </si>
  <si>
    <t>Waardelijst (preferred): ICD-10, SNOMED CT, ICD-O, Orphacode if rare disease is diagnosed</t>
  </si>
  <si>
    <t>CON-8.2</t>
  </si>
  <si>
    <t>Problem/Diagnosis name</t>
  </si>
  <si>
    <t>Identificatie van het probleem of de diagnose, met de naam erbij.
Opmerking: Codering van de naam van het probleem of de diagnose met een terminologie heeft de voorkeur, indien mogelijk.</t>
  </si>
  <si>
    <t xml:space="preserve">String of waardelijst </t>
  </si>
  <si>
    <t>CON-8.3</t>
  </si>
  <si>
    <t>ProbleemNaam</t>
  </si>
  <si>
    <t>De probleemnaam definieert het probleem. Afhankelijk van de setting kunnen verschillende codestelsels worden gebruikt. De ProbleemNaamCodelijst geeft een overzicht van de mogelijke codestelsels</t>
  </si>
  <si>
    <t>Waardelijst (DHD Diagnosethesaurus; ICD-10, dutch translation; SNOMED CT; NANDA-I; ICF; ICPC-1 NL; DSM-IV; DSM-5; GGZ Diagnoselijst)</t>
  </si>
  <si>
    <t>Zib 2017, zib 2020</t>
  </si>
  <si>
    <t>CON-8.4</t>
  </si>
  <si>
    <t>zorgepisodetitel</t>
  </si>
  <si>
    <t>Beschrijving van het gezondheidsprobleem. Dit kan een door de zorgverlener geformuleerde tekst zijn, danwel de tekstuele omschrijving van de ICPC code. In het HIS-referentiemodel is de "episode-label" bij een episode-item beschreven. Dat geeft de episode-titel weer op het moment van vastleggen van het episode-item. Door na te gaan wat de episodelabels waren van de episode-items(=Een gegeven van de patiënt dat mede de toestand van een patiënt op een bepaald moment beschrijft in het kader van een episode), die tot de episode horen, zijn dus de aanpassingen te achterhalen. Dit zit al jaren zo in het HIS-Referentiemodel. De vraag is of HIS’en dit ook op deze manier hebben geïmplementeerd. de episode blijft dezelfde episode bij een aanpassing van de naam; Het haakje / unieke ID van de episode verandert niet. 
Een gezondheidskwestie kan zich in de loop der tijd ontwikkelen. Bijvoorbeeld een patiënt met eenvoudige verkoudheid wordt steeds zieker als die verkoudheid zich verder ontwikkelt tot een pneumonie. De huisarts zal de gezondheidskwestie hier aanvankelijk een verkoudheid noemen, maar de klachten later omschrijven als een pneumonie. Hij past de aard (de titel) van de episode in de loop van de tijd aan van verkoudheid naar pneumonie.</t>
  </si>
  <si>
    <t>Waardelijst (ICPC) + tekstuele omschrijving</t>
  </si>
  <si>
    <t>Spoedsamenvatting 2.2.0 https://referentiemodel.nhg.org/node/1487/volledig/published</t>
  </si>
  <si>
    <t>CON-9</t>
  </si>
  <si>
    <t>Begin datum van de conditie</t>
  </si>
  <si>
    <t>De datum en evt. tijd waarop de gezondheidstoestand  is begonnen</t>
  </si>
  <si>
    <t>niet toekomst</t>
  </si>
  <si>
    <t>Ja (onsetDateTime)</t>
  </si>
  <si>
    <t>ja 0..1 Date/time of onset</t>
  </si>
  <si>
    <t>Ja, ProbleemBeginDatum</t>
  </si>
  <si>
    <t>CON-9.1</t>
  </si>
  <si>
    <t>onsetDate</t>
  </si>
  <si>
    <t>De datum waarop de conditie/probleem is begonnen</t>
  </si>
  <si>
    <t>CON-9.2</t>
  </si>
  <si>
    <t>ProbleemBeginDatum</t>
  </si>
  <si>
    <t>Begin van de aandoening, waarop het probleem betrekking heeft. Vooral bij klachten waarbij het langer duurt voordat de uiteindelijke diagnose gesteld wordt is het belangrijk niet alleen de diagnosedatum te weten, maar ook sinds wanneer de aandoening al bestaat. Een vage datum, bijv. alleen een jaartal of een maand en een jaartal, is toegestaan.
NL-behoefte: ZIB2020 Definitie van concept ProbleemBeginDatum is aangepast om duidelijker te maken dat bij type diagnose het gaat om de datum waarop de diagnose gesteld is en niet om de begindatum van het probleem
NL behoefte zib2024: Uit de analyse van de door de NHG ingebrachte wijzigingsvoorstellen is naar voren gekomen dat er behoefte is om een onderscheid te maken tussen begin-/eind- datum van de diagnose (probleem) en begin-/eind- datum van onderliggend lijden</t>
  </si>
  <si>
    <t>Date, Time, DateTime</t>
  </si>
  <si>
    <t>Zib 2017; zib 2020</t>
  </si>
  <si>
    <t>CON-9.3</t>
  </si>
  <si>
    <t>episode.begindatum aandoening</t>
  </si>
  <si>
    <t>Bij een episode kan zowel de startdatum van de episode zelf (het begin van de contacten tussen arts en patiënt over een gezondheidskwestie) worden vastgelegd, als de begindatum van de in de episodetitel beschreven aandoening.
Bij template kezo-Problemobservation  is De effectiveTime, ook biologisch relevante tijd genoemd, is het tijdstip waarop de waarneming geldt voor de patient. Voor een zorgverlener die een patiënt in de kliniek vandaag ziet en waar een voorgeschiedenis van een hartaanval wordt geconstatterd die vijf jaar geleden heeft plaatsgevonden, is de effectiveTime dus vijf jaar geleden.</t>
  </si>
  <si>
    <t>begindatum aandoening:Datumtijd [0..1]
spoedsamenvatting in artdecor geeft aan: IVL_TS (behoefte van deze datatype is onbekend)</t>
  </si>
  <si>
    <t>HIS-referentiemodel: https://referentiemodel.nhg.org/node/93/volledig/published
Spoedsamenvatting 2.2.0 (https://decor.nictiz.nl/pub/acutezorg/acutezorg-html-20190117T230242/tmp-2.16.840.1.113883.2.4.3.11.60.66.10.213-2015-07-03T000000.html)</t>
  </si>
  <si>
    <t>CON-10</t>
  </si>
  <si>
    <t>Eind datum van de gezondheidstoestand</t>
  </si>
  <si>
    <t>De datum en evt. tijd waarop de gezondheidstoestand is afgelopen</t>
  </si>
  <si>
    <t>verleden</t>
  </si>
  <si>
    <t>Ja (abatementDateTime)</t>
  </si>
  <si>
    <t>ja 0..1 Date/time of resolution</t>
  </si>
  <si>
    <t>CON-10.1</t>
  </si>
  <si>
    <t>endDate</t>
  </si>
  <si>
    <t>De datum of geschatte datum waarop de conditie in remissie ging of verdween</t>
  </si>
  <si>
    <t>Ja, ProbleemEindDatum</t>
  </si>
  <si>
    <t>CON-10.2</t>
  </si>
  <si>
    <t>ProbleemEindDatum</t>
  </si>
  <si>
    <t>Datum waarop de aandoening, waarop het probleem betrekking heeft, als niet meer aanwezig wordt beschouwd. Deze datum hoeft niet gelijk te zijn aan de datum waarop de statuswijzinging van het probleem is vastgelegd. Een vage datum, bijv. alleen een jaartal of een maand en een jaartal, is toegestaan.</t>
  </si>
  <si>
    <t>TS (maar vage datum mag ook)</t>
  </si>
  <si>
    <t>CON-10.3</t>
  </si>
  <si>
    <t>zorgepisode.Einddatum</t>
  </si>
  <si>
    <t>HIS-behoefte:
Voor het afsluiten van een episode zijn verschillende behoefte:
De huisarts sluit de episode handmatig af.
De huisarts legt bij de episode een verwachte einddatum vast. Bij voortschrijdend inzicht over de verwachte duur van de episode past de huisarts de verwachte einddatum aan. De episode sluit automatisch na het verstrijken van de vastgelegde einddatum.
In de praktijk wordt de keuze gemaakt om te werken met een vast termijn waarna een episode wordt afgesloten. De termijn gaat in vanaf het moment waarop de episode het laatst is gewijzigd. Een wijziging kan zijn een aanpassing van de titel of het toevoegen van gegevens (bijvoorbeeld een SOEP-verslag). Om welke termijn het gaat wordt vastgesteld op praktijkniveau. De episode sluit automatisch na het verstrijken van het termijn.
Indien een episodenaam wijzigt doordat er een andere ICPC-code en naam (handmatig of door episode-item), vanwege dat de aandoening verandert van hoesten naar longontsteking krijgt de oude versie geen einddatum. Huisartsen leggen niet het concept probleem vast, dus er is geen zib-probleemeinddatum)</t>
  </si>
  <si>
    <t>Spoedsamenvatting 2.2.0 (https://referentiemodel.nhg.org/node/93/volledig/published)</t>
  </si>
  <si>
    <t>CON-11</t>
  </si>
  <si>
    <t>category</t>
  </si>
  <si>
    <t>Categorie(ën) van het probleem (bijv. POA - aanwezig bij opname, HAC - in het ziekenhuis opgelopen aandoening, en andere categorisaties. Door de probleemcategorie te kiezen, kunnen aandoeningen die tijdens het ziekenhuisverblijf zijn ontstaan, worden gemarkeerd. Het is een behoefte uit de discharge report. https://health.ec.europa.eu/system/files/2024-01/ehn_hdr_guidelines_en.pdf</t>
  </si>
  <si>
    <t>Ja (category)</t>
  </si>
  <si>
    <t xml:space="preserve">Disorder category via Problem/Diagnosis qualifier. Vraag aan Wouter/Michal: hoe werkt dat in openEHR, want in welk data-element wordt dit cluster in een slot gestopt,status? de keuze inopenEHR is tussen 'principle, secondary en complication'... dat is niet helemaal wat de LIM wil aangeven: die heeft als voorbeeld "present on admission, HAC - hospital aquired condition, and other categorisations" en in FHIR hebben ze weer andere voorbeelden problem-list-item | encounter-diagnosis </t>
  </si>
  <si>
    <t>CON-11.1</t>
  </si>
  <si>
    <t>Bij opvragen van de spoedsamenvatting vanuit de huisarts wordt de episodelijst opgevraagd van relevante aandoeningen. dit vertaalt naar de HIS door open episodes en gesloten episode met attentiewaarde</t>
  </si>
  <si>
    <t>Gecodeerde concept : problem-list-item</t>
  </si>
  <si>
    <t>spoedsamenvatting 2.2.0</t>
  </si>
  <si>
    <t>CON-11.2</t>
  </si>
  <si>
    <t>ZIB2024: isComplicatie is een element van diagnostischInzicht; Geeft aan of het diagnostisch inzicht wel of niet een complicatie betreft. Relevante achtergrondinformatie staat in de https://demedischspecialist.nl/sites/default/files/2022-07/handreiking_adequate_registratie_in_het_epd.pdf die vorig jaar is opgesteld."Het registreren van complicaties is ook onderdeel van de zib probleem. Complicatieregistratie is een relevante registratie die gebruikt wordt voor
in-en externe kwaliteitscontroles en ter verbetering van zorg. "</t>
  </si>
  <si>
    <t>boolean</t>
  </si>
  <si>
    <t>ZIB2024</t>
  </si>
  <si>
    <t>Ja disorder category</t>
  </si>
  <si>
    <t>CON-12</t>
  </si>
  <si>
    <t>resolutionCircumstances</t>
  </si>
  <si>
    <t>Beschrijft de reden waarom de status van het probleem is veranderd van actueel naar inactief (bijv. chirurgische ingreep, medische behandeling, enz.).</t>
  </si>
  <si>
    <t>String</t>
  </si>
  <si>
    <t>Ja? (note.text)</t>
  </si>
  <si>
    <t>Ja? Comment</t>
  </si>
  <si>
    <t>geen NL behoefte van ZIB of spoedsamenvatting voor dit element gevonden om dit gestructureerd te registeren. Huisartsen leggen dit vast in de episodenaam https://www.nhg.org/wp-content/uploads/2026/04/260033_-Herziene-Richtlijn-ADEPD_v4.pdf.</t>
  </si>
  <si>
    <t>CON-13</t>
  </si>
  <si>
    <t>severity</t>
  </si>
  <si>
    <t>Een subjectieve beoordeling van de ernst van de aandoening, zoals vastgesteld door de arts.</t>
  </si>
  <si>
    <t>Waardelijst (preferred): HL7 Condition/Diagnosis Severity; SNOMED CT</t>
  </si>
  <si>
    <t>heden</t>
  </si>
  <si>
    <t>Ja  (Severity)</t>
  </si>
  <si>
    <t>Ja Severity (optional)</t>
  </si>
  <si>
    <t>CON-13.1</t>
  </si>
  <si>
    <t>geen NL behoefte van ZIB2017 en ZIB2020 of spoedsamenvatting voor dit element gevonden om gestructureerd te registeren: Huisartsen registreren de ernst in de episodenaam https://www.nhg.org/wp-content/uploads/2026/04/260033_-Herziene-Richtlijn-ADEPD_v4.pdf.</t>
  </si>
  <si>
    <t>CON-13.2</t>
  </si>
  <si>
    <t>Ernst</t>
  </si>
  <si>
    <t>NL behoefte zib2024: element ernst in zib aandoeningofgesteldheid. Duiding van de ernst van de aandoening of gesteldheid. Een aandoening of gesteldheid kan weinig klachten geven en toch ernstig zijn, maar het omgekeerde kan ook. -&gt; Wie deze wens heeft en waarom is niet gevonden in ZIB-project.</t>
  </si>
  <si>
    <t>Waardelijst: Licht, Licht tot matig, Matig, Matig tot ernstig, Ernstig, Van levensbedreigende ernst, Levensbedreigend, Fataal</t>
  </si>
  <si>
    <t>CON-14</t>
  </si>
  <si>
    <t>bodySite</t>
  </si>
  <si>
    <t>De anatomische locatie, inclusief de zijde waar deze aandoening zich manifesteert.</t>
  </si>
  <si>
    <t>Verwijziging naar EHDSBodyStructure</t>
  </si>
  <si>
    <t>Ja (bodySite)</t>
  </si>
  <si>
    <t>Ja (StructuredBodySite)</t>
  </si>
  <si>
    <t>CON-14.1</t>
  </si>
  <si>
    <t>ProbleemAnatomischeLocatie</t>
  </si>
  <si>
    <t>Anatomische locatie die de focus is van de verrichting.</t>
  </si>
  <si>
    <t>CON-14.2</t>
  </si>
  <si>
    <t>ProbleemLateraliteit</t>
  </si>
  <si>
    <t>Lateraliteit verbijzondert de anatomische locatie door, indien van toepassing, de zijdigheid vast te leggen, bijvoorbeeld links.</t>
  </si>
  <si>
    <t>CON-15</t>
  </si>
  <si>
    <t>stage</t>
  </si>
  <si>
    <t>Het stadium/de graad wordt doorgaans formeel beoordeeld aan de hand van een specifiek stadium-/gradatiesysteem. Er kunnen meerdere beoordelingssystemen worden gebruikt.</t>
  </si>
  <si>
    <t>Waardelijst (preferred): e.g. TNM, ICD-O-3, Bi-Rads, Li-Rads, …</t>
  </si>
  <si>
    <t>Ja (stage)</t>
  </si>
  <si>
    <t>Ja/Nee maar via extensie / uitbreiding van archetype Specific Details (cluster?) -&gt; Wouter vragen.</t>
  </si>
  <si>
    <t>https://nictiz.atlassian.net/browse/PAT-304</t>
  </si>
  <si>
    <t>HIS-behoefte: classificaties , zoals TNM, worden geregistreerd in de eipsodenaam https://www.nhg.org/wp-content/uploads/2026/04/260033_-Herziene-Richtlijn-ADEPD_v4.pdf.</t>
  </si>
  <si>
    <t>CON-16</t>
  </si>
  <si>
    <t>Status van verificatie van de conditie</t>
  </si>
  <si>
    <t>CON-16.1</t>
  </si>
  <si>
    <t>diagnosisAssertionStatus</t>
  </si>
  <si>
    <t>Een bewering over de zekerheid die aan een diagnose is verbonden. Diagnostisch en/of klinisch bewijs van een aandoening</t>
  </si>
  <si>
    <t>Waardelijst (preferred): HL7 Condition Verification Status (unconfirmed, provisional, differential, confirmed, refuted, entered-in-error )</t>
  </si>
  <si>
    <t>Ja (verificationStatus)</t>
  </si>
  <si>
    <t>Ja? DiagnosticCertainty? proberbly, confermed, supsected OF VIA cluster "Diagnostic status" : Preliminary ; Working ; Established ; Refuted</t>
  </si>
  <si>
    <t>VerificatieStatus ZIB!</t>
  </si>
  <si>
    <t>CON-P16.2</t>
  </si>
  <si>
    <t>VerificatieStatus</t>
  </si>
  <si>
    <t>Klinische status van het probleem of de diagnose.</t>
  </si>
  <si>
    <t xml:space="preserve">VerificatieStatusCodelijst </t>
  </si>
  <si>
    <t>CON-17</t>
  </si>
  <si>
    <t>specialistContact</t>
  </si>
  <si>
    <t>Een zorgverlener die specifiek betrokken is bij het probleem, als voorkeurscontactpersoon.</t>
  </si>
  <si>
    <t>Verwijzing naar de EHDSHealthProfessional</t>
  </si>
  <si>
    <t>Ja note.text/careteam.reason</t>
  </si>
  <si>
    <t>Onduidelijk, mogelijk other participants mits je aan kan geven dat het een voorkeurscontactpersoon is -&gt; Wouter vragen</t>
  </si>
  <si>
    <t>CON-18</t>
  </si>
  <si>
    <t>externalResource</t>
  </si>
  <si>
    <t>Externe bronnen die specifiek betrekking hebben op het probleem, bijvoorbeeld een link naar een probleem met een zeldzame ziekte en de bijbehorende richtlijnen</t>
  </si>
  <si>
    <t>uri</t>
  </si>
  <si>
    <t xml:space="preserve">0..* </t>
  </si>
  <si>
    <t>Ja(structureDefinition.extension:relatedArtifact) FMM2</t>
  </si>
  <si>
    <t>ja/nee Guideline Identifier (focust op richtlijnen of breder, LIM is breder)</t>
  </si>
  <si>
    <t>CON-19</t>
  </si>
  <si>
    <t>Toelichting van diegene die het Probleem heeft vastgesteld of bijgewerkt.</t>
  </si>
  <si>
    <t>Ja (note)</t>
  </si>
  <si>
    <t>Ja (comment)</t>
  </si>
  <si>
    <t>CON-20</t>
  </si>
  <si>
    <t>NadereSpecificatieProbleemNaam</t>
  </si>
  <si>
    <t>BGZ-MSZ- behoefte: Wat is precies de behoefte van MBZ-MSZ voor een waardelijst als een naderespecificatie</t>
  </si>
  <si>
    <t xml:space="preserve">String en waardelijst </t>
  </si>
  <si>
    <t>Zib 2020; informatiestandaard BgZ-MSZ</t>
  </si>
  <si>
    <t xml:space="preserve">ja/nee (code.text) </t>
  </si>
  <si>
    <t>Ja, variant (tekst or coded tekst)</t>
  </si>
  <si>
    <t>Actie</t>
  </si>
  <si>
    <t>Notitie</t>
  </si>
  <si>
    <t>[Actie om te ondernemen, kies uit de 3 acties: cluster, andere bouwsteen en modelleren]</t>
  </si>
  <si>
    <t>[Eventuele notitie]</t>
  </si>
  <si>
    <t>[Naam van de informatie-requirement ]</t>
  </si>
  <si>
    <t>In het FHIR profiel is er voor de referentie voor auteur.Device nog geen Device profiel toegevoegd omdat nlcore-device nog niet bestaat. Deze moet tzt wel toegevoegd worden.</t>
  </si>
  <si>
    <t>Potentiële basismodellen</t>
  </si>
  <si>
    <t>FHIR R4 resource Condition
openEHR archetype Problem/Diagnosis 1.7.3</t>
  </si>
  <si>
    <t>Relatie met andere basismodellen</t>
  </si>
  <si>
    <t>Ter Discussie</t>
  </si>
  <si>
    <t>Data element</t>
  </si>
  <si>
    <t>Uitleg</t>
  </si>
  <si>
    <t>Uitkomst</t>
  </si>
  <si>
    <t>ProbleemNaamSpecifiek</t>
  </si>
  <si>
    <t>BgZ-MSZ 2.0</t>
  </si>
  <si>
    <t>Dit is een gecodeerde naam, maar dit was ook om voor te sorteren op zib2020. In de mapping naar FHIR is zib2020 uiteindelijk gekozen om deze specificatie in een notitie te zetten, aangezien dat meer was wat gevraagd werd. Zie: https://nictiz.atlassian.net/browse/ZIBFHIR-145. Het voorstel is: Condition.code.text
Functioneel gezien maken ze gebruik van dezelfde codelijst als ProbleemNaam maar dit element is alleen van toepassing voor medisch specialisten. Onduidelijk wat hiermee bedoeld wordt omdat deze informatiestandaard zich al beperkt tot MSZ. Mogelijk is hier ook geen informatiebehoefte,</t>
  </si>
  <si>
    <t>Episodetitel</t>
  </si>
  <si>
    <t xml:space="preserve">Beschrijving van het gezondheidsprobleem. Dit kan een door de zorgverlener geformuleerde tekst zijn, danwel de tekstuele omschrijving van de ICPC code. ter discussie: patient kan meerdere problemen onder 1 episode hebben -&gt; hoe dat in HIS gemodelleerd is, is onduidelijk. De ontvangende zorverlener is geinteresseerd in de episodelijst van de huisarts, omdat die een overzicht geeft van de conditions (problem-list) van de patient, waarbij condition.category=problemlist.item is. 
https://referentiemodel.nhg.org/node/1594/publieksversie/published -&gt; diagnoses komen niet voor in het HIS, die zijn verdeeld onder episodes, of in de S-regel, of in de E-regel. de titel van de episode verandert in de loop van de tijd onder invloed van nieuwe inzichten of door het beloop van de aandoening, zoals de aanpassing van klacht naar diagnose (hoesten naar pneumonie), een nieuwe diagnose stelling (pneunomie wordt longcarcinoom) of de nuancering of verfijning van de diagnose (longcarcinoom naar longcarcinoom met metastases).  
is episode een condition?
</t>
  </si>
  <si>
    <t>EHDS LIM</t>
  </si>
  <si>
    <t>De vraag is of in de mapping naar FHIR hier nog naar een EHDS=professional gemapt kan worden, OF dat in LIM aangepast kan worden op iets wat FHIR aankan in de FHIR resource condition</t>
  </si>
  <si>
    <t>Auteur.device</t>
  </si>
  <si>
    <t>niet in FHIR wel in openEHR. komt hier een extension voor? Device wordt nu uitgewerkt in team carefuel</t>
  </si>
  <si>
    <t>subject</t>
  </si>
  <si>
    <t>Indicates the patient or group who the condition record is associated with.</t>
  </si>
  <si>
    <t>Waarom zetten we groep er wel of niet bij? Nu niet meegenomen, maar wellicht voor in de toekomst?</t>
  </si>
  <si>
    <t xml:space="preserve"> EHDSCondition.header.author</t>
  </si>
  <si>
    <t>LIMS omschrijving is "	
The author of the condition information."  Het is gemapt met FHIR: Condition.recorder: de omschrijving is "Individual who recorded the record and takes responsibility for its content." -&gt; de registratie-persoon is niet altijd ook de verantwoordelijke.  Is dit een foute mapping?</t>
  </si>
  <si>
    <r>
      <t xml:space="preserve">FHIR Condition Maturity Level: 3 </t>
    </r>
    <r>
      <rPr>
        <b/>
        <sz val="11"/>
        <color theme="1"/>
        <rFont val="Aptos Narrow"/>
        <family val="2"/>
        <scheme val="minor"/>
      </rPr>
      <t>&amp;</t>
    </r>
    <r>
      <rPr>
        <sz val="11"/>
        <color theme="1"/>
        <rFont val="Aptos Narrow"/>
        <family val="2"/>
        <scheme val="minor"/>
      </rPr>
      <t xml:space="preserve"> openEHR Problem/Diagnosis;latest revision / latest published  53 [1.7.4] 
Na analyse blijkt FHIR beste keus, want: 
-categorie: bij openEHR zijn de keuzes voor cathegorie niet overeenkomend met de cathegorieen van de LIM -&gt; maar hoeft niet persé een deal-breaker te zijn
- diagnosisAssertionStatus waardelijst komt niet precies overeen bij openEHR(mist differential en netered-in-error), wel volledige mapping met FHIR
- stage komt niet precies overeen in openEHR, namelijk via extensie / uitbreiding van archetype Specific Details (cluster?), wel in FHIR
- nadereSpecificatieProbleemNaam heeft in ZIBFHIR-145 een mapping gekregen op FHIR, maar is duidelijker in openEHR gemodelleerd als "variant" (echter variant is specifieker, dan LIMS/ZIB wil duiden )
-specialistcontact: in openEHR is het onduidelijk, mogelijk other participants mits je aan kan geven dat het een voorkeurscontactpersoon is. in FHIR ook niet ideaal, namelijk note.text of via careteam.reason</t>
    </r>
  </si>
  <si>
    <t xml:space="preserve">* Logisch informatie model EHDSCondition versie 1.0.0
* Verplichte elementen uit FHIR R4 Condition 
* Verplichte elementen uit openEHR Problem / Diagnosis versie 1.7.4 
* Zib Probleem uit publicatie 2017 
* Zib Probleem uit publicatie 2020 
* Informatiestandaard BgZ-MSZ versie 2.0.2 
* Usecase Spoedsamenvatting van informatiestandaard Acute Zorg versie 2.2.0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</si>
</sst>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sz val="8"/>
      <name val="Aptos Narrow"/>
      <family val="2"/>
      <scheme val="minor"/>
    </font>
    <font>
      <b/>
      <sz val="11"/>
      <color rgb="FF242424"/>
      <name val="Aptos Narrow"/>
      <family val="2"/>
    </font>
    <font>
      <sz val="11"/>
      <color rgb="FFFF0000"/>
      <name val="Aptos Narrow"/>
      <family val="2"/>
      <scheme val="minor"/>
    </font>
    <font>
      <sz val="11"/>
      <color theme="0"/>
      <name val="Aptos Narrow"/>
      <family val="2"/>
      <scheme val="minor"/>
    </font>
    <font>
      <b/>
      <sz val="11"/>
      <color rgb="FF000000"/>
      <name val="Aptos Narrow"/>
      <family val="2"/>
      <scheme val="minor"/>
    </font>
    <font>
      <sz val="11"/>
      <color rgb="FF000000"/>
      <name val="Aptos Narrow"/>
      <family val="2"/>
      <scheme val="minor"/>
    </font>
    <font>
      <sz val="11"/>
      <color rgb="FF242424"/>
      <name val="Aptos Narrow"/>
    </font>
    <font>
      <sz val="9"/>
      <color rgb="FF4D4D4D"/>
      <name val="Tahoma"/>
      <family val="2"/>
    </font>
    <font>
      <sz val="11"/>
      <color rgb="FF000000"/>
      <name val="Aptos Narrow"/>
      <scheme val="minor"/>
    </font>
    <font>
      <sz val="11"/>
      <color rgb="FF000000"/>
      <name val="Aptos Narrow"/>
    </font>
    <font>
      <sz val="9"/>
      <color rgb="FF4D4D4D"/>
      <name val="Tahoma"/>
      <family val="2"/>
    </font>
    <font>
      <sz val="11"/>
      <color rgb="FFFF0000"/>
      <name val="Aptos Narrow"/>
      <scheme val="minor"/>
    </font>
    <font>
      <sz val="7"/>
      <color rgb="FF333333"/>
      <name val="Verdana"/>
      <family val="2"/>
    </font>
    <font>
      <b/>
      <sz val="11"/>
      <color rgb="FF000000"/>
      <name val="Aptos Narrow"/>
      <scheme val="minor"/>
    </font>
    <font>
      <sz val="11"/>
      <color rgb="FF000000"/>
      <name val="Aptos Narrow"/>
    </font>
    <font>
      <sz val="11"/>
      <color rgb="FFFF0000"/>
      <name val="Aptos Narrow"/>
    </font>
    <font>
      <sz val="11"/>
      <color theme="1"/>
      <name val="Aptos Narrow"/>
    </font>
    <font>
      <sz val="11"/>
      <color theme="1"/>
      <name val="Aptos Narrow"/>
      <scheme val="minor"/>
    </font>
  </fonts>
  <fills count="6">
    <fill>
      <patternFill patternType="none"/>
    </fill>
    <fill>
      <patternFill patternType="gray125"/>
    </fill>
    <fill>
      <patternFill patternType="solid">
        <fgColor rgb="FFE4E4E4"/>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style="thin">
        <color rgb="FFCCCCCC"/>
      </left>
      <right style="thin">
        <color rgb="FFCCCCCC"/>
      </right>
      <top style="thin">
        <color rgb="FFCCCCCC"/>
      </top>
      <bottom style="thick">
        <color rgb="FFCCCCCC"/>
      </bottom>
      <diagonal/>
    </border>
    <border>
      <left style="thin">
        <color theme="5" tint="-0.249977111117893"/>
      </left>
      <right style="thin">
        <color theme="5" tint="-0.249977111117893"/>
      </right>
      <top/>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2" fillId="0" borderId="0" xfId="0" applyFont="1"/>
    <xf numFmtId="0" fontId="1" fillId="0" borderId="0" xfId="0" applyFont="1"/>
    <xf numFmtId="0" fontId="0" fillId="0" borderId="0" xfId="0" applyAlignment="1">
      <alignment wrapText="1"/>
    </xf>
    <xf numFmtId="0" fontId="3" fillId="0" borderId="0" xfId="1" applyAlignment="1">
      <alignment wrapText="1"/>
    </xf>
    <xf numFmtId="0" fontId="3" fillId="0" borderId="0" xfId="1"/>
    <xf numFmtId="0" fontId="3" fillId="0" borderId="0" xfId="1" applyAlignment="1">
      <alignment horizontal="left" vertical="center" wrapText="1"/>
    </xf>
    <xf numFmtId="0" fontId="2" fillId="0" borderId="0" xfId="0" applyFont="1" applyAlignment="1">
      <alignment wrapText="1"/>
    </xf>
    <xf numFmtId="0" fontId="0" fillId="0" borderId="0" xfId="0" applyAlignment="1">
      <alignment horizontal="left" wrapText="1"/>
    </xf>
    <xf numFmtId="0" fontId="0" fillId="0" borderId="0" xfId="0" applyAlignment="1">
      <alignment horizontal="right"/>
    </xf>
    <xf numFmtId="0" fontId="1" fillId="0" borderId="0" xfId="0" applyFont="1" applyAlignment="1">
      <alignment wrapText="1"/>
    </xf>
    <xf numFmtId="0" fontId="5" fillId="0" borderId="0" xfId="0" applyFont="1"/>
    <xf numFmtId="0" fontId="0" fillId="0" borderId="0" xfId="0" applyAlignment="1">
      <alignment horizontal="left" vertical="top" wrapText="1"/>
    </xf>
    <xf numFmtId="0" fontId="7" fillId="0" borderId="2" xfId="0" applyFont="1" applyBorder="1" applyAlignment="1">
      <alignment horizontal="left" vertical="top" wrapText="1"/>
    </xf>
    <xf numFmtId="0" fontId="9" fillId="0" borderId="0" xfId="0" applyFont="1" applyAlignment="1">
      <alignment horizontal="left" vertical="top" wrapText="1"/>
    </xf>
    <xf numFmtId="0" fontId="1"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Alignment="1">
      <alignment wrapText="1"/>
    </xf>
    <xf numFmtId="0" fontId="8" fillId="0" borderId="0" xfId="0" applyFont="1" applyAlignment="1">
      <alignment horizontal="left" wrapText="1"/>
    </xf>
    <xf numFmtId="0" fontId="0" fillId="0" borderId="0" xfId="0" applyAlignment="1">
      <alignment horizontal="right" wrapText="1"/>
    </xf>
    <xf numFmtId="0" fontId="0" fillId="3" borderId="0" xfId="0" applyFill="1" applyAlignment="1">
      <alignment wrapText="1"/>
    </xf>
    <xf numFmtId="0" fontId="6"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9" fillId="3" borderId="0" xfId="0" applyFont="1" applyFill="1" applyAlignment="1">
      <alignment wrapText="1"/>
    </xf>
    <xf numFmtId="0" fontId="10" fillId="0" borderId="0" xfId="0" applyFont="1"/>
    <xf numFmtId="0" fontId="1" fillId="0" borderId="0" xfId="0" applyFont="1" applyAlignment="1">
      <alignment horizontal="left" wrapText="1"/>
    </xf>
    <xf numFmtId="0" fontId="11" fillId="0" borderId="0" xfId="0" applyFont="1" applyAlignment="1">
      <alignment wrapText="1"/>
    </xf>
    <xf numFmtId="0" fontId="11" fillId="0" borderId="0" xfId="0" applyFont="1"/>
    <xf numFmtId="0" fontId="11" fillId="2" borderId="1" xfId="0" applyFont="1" applyFill="1" applyBorder="1" applyAlignment="1">
      <alignment wrapText="1"/>
    </xf>
    <xf numFmtId="0" fontId="11" fillId="2" borderId="0" xfId="0" applyFont="1" applyFill="1" applyAlignment="1">
      <alignment wrapText="1"/>
    </xf>
    <xf numFmtId="0" fontId="0" fillId="4" borderId="0" xfId="0" applyFill="1" applyAlignment="1">
      <alignment wrapText="1"/>
    </xf>
    <xf numFmtId="0" fontId="13" fillId="0" borderId="0" xfId="0" applyFont="1" applyAlignment="1">
      <alignment wrapText="1"/>
    </xf>
    <xf numFmtId="0" fontId="0" fillId="5" borderId="0" xfId="0" applyFill="1" applyAlignment="1">
      <alignment wrapText="1"/>
    </xf>
    <xf numFmtId="0" fontId="14" fillId="0" borderId="0" xfId="0" applyFont="1" applyAlignment="1">
      <alignment wrapText="1"/>
    </xf>
    <xf numFmtId="0" fontId="16" fillId="0" borderId="0" xfId="0" applyFont="1"/>
    <xf numFmtId="0" fontId="18" fillId="0" borderId="0" xfId="0" applyFont="1"/>
    <xf numFmtId="0" fontId="20" fillId="0" borderId="0" xfId="0" applyFont="1" applyAlignment="1">
      <alignment wrapText="1"/>
    </xf>
    <xf numFmtId="0" fontId="21" fillId="0" borderId="0" xfId="0" applyFont="1" applyAlignment="1">
      <alignment wrapText="1"/>
    </xf>
    <xf numFmtId="0" fontId="18" fillId="0" borderId="0" xfId="0" applyFont="1" applyAlignment="1">
      <alignment wrapText="1"/>
    </xf>
  </cellXfs>
  <cellStyles count="2">
    <cellStyle name="Hyperlink" xfId="1" builtinId="8"/>
    <cellStyle name="Normal" xfId="0" builtinId="0"/>
  </cellStyles>
  <dxfs count="21">
    <dxf>
      <font>
        <color rgb="FF000000"/>
      </font>
      <fill>
        <patternFill patternType="none"/>
      </fill>
      <alignment wrapText="1"/>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amily val="2"/>
      </font>
      <fill>
        <patternFill patternType="none"/>
      </fill>
      <alignment wrapText="1"/>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1" indent="0" justifyLastLine="0" shrinkToFit="0" readingOrder="0"/>
      <border diagonalUp="0" diagonalDown="0">
        <left style="thin">
          <color theme="5" tint="-0.249977111117893"/>
        </left>
        <right style="thin">
          <color theme="5" tint="-0.249977111117893"/>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1"/>
        <color theme="1"/>
        <name val="Aptos Narrow"/>
        <family val="2"/>
        <scheme val="minor"/>
      </font>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12</xdr:row>
      <xdr:rowOff>171450</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2338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In dit template staan teksten tussen blokhaken ([]) deze teksten moeten concreet worden gemaakt.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4</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4761</xdr:rowOff>
    </xdr:from>
    <xdr:to>
      <xdr:col>3</xdr:col>
      <xdr:colOff>3295650</xdr:colOff>
      <xdr:row>0</xdr:row>
      <xdr:rowOff>1800224</xdr:rowOff>
    </xdr:to>
    <xdr:sp macro="" textlink="">
      <xdr:nvSpPr>
        <xdr:cNvPr id="2" name="TextBox 1">
          <a:extLst>
            <a:ext uri="{FF2B5EF4-FFF2-40B4-BE49-F238E27FC236}">
              <a16:creationId xmlns:a16="http://schemas.microsoft.com/office/drawing/2014/main" id="{91B98F90-F065-D25C-D33F-375EF972FAA5}"/>
            </a:ext>
          </a:extLst>
        </xdr:cNvPr>
        <xdr:cNvSpPr txBox="1"/>
      </xdr:nvSpPr>
      <xdr:spPr>
        <a:xfrm>
          <a:off x="0" y="4761"/>
          <a:ext cx="5410200" cy="1795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Voor het concept wordt een beschrijving gemaakt van alle informatie waar behoefte aan is. Dit wordt uitgesplitst in individuele elementen, zoals een “datum” of “periode”, een “categorie”, etc.</a:t>
          </a:r>
        </a:p>
        <a:p>
          <a:endParaRPr lang="nl-NL" sz="1100">
            <a:solidFill>
              <a:schemeClr val="dk1"/>
            </a:solidFill>
            <a:effectLst/>
            <a:latin typeface="+mn-lt"/>
            <a:ea typeface="+mn-ea"/>
            <a:cs typeface="+mn-cs"/>
          </a:endParaRPr>
        </a:p>
        <a:p>
          <a:r>
            <a:rPr lang="nl-NL" sz="1100">
              <a:solidFill>
                <a:schemeClr val="dk1"/>
              </a:solidFill>
              <a:effectLst/>
              <a:latin typeface="+mn-lt"/>
              <a:ea typeface="+mn-ea"/>
              <a:cs typeface="+mn-cs"/>
            </a:rPr>
            <a:t>Het gaat hier nog om een </a:t>
          </a:r>
          <a:r>
            <a:rPr lang="nl-NL" sz="1100" i="1">
              <a:solidFill>
                <a:schemeClr val="dk1"/>
              </a:solidFill>
              <a:effectLst/>
              <a:latin typeface="+mn-lt"/>
              <a:ea typeface="+mn-ea"/>
              <a:cs typeface="+mn-cs"/>
            </a:rPr>
            <a:t>beschrijving</a:t>
          </a:r>
          <a:r>
            <a:rPr lang="nl-NL" sz="1100">
              <a:solidFill>
                <a:schemeClr val="dk1"/>
              </a:solidFill>
              <a:effectLst/>
              <a:latin typeface="+mn-lt"/>
              <a:ea typeface="+mn-ea"/>
              <a:cs typeface="+mn-cs"/>
            </a:rPr>
            <a:t> van de behoefte (</a:t>
          </a:r>
          <a:r>
            <a:rPr lang="nl-NL" sz="1100" i="1">
              <a:solidFill>
                <a:schemeClr val="dk1"/>
              </a:solidFill>
              <a:effectLst/>
              <a:latin typeface="+mn-lt"/>
              <a:ea typeface="+mn-ea"/>
              <a:cs typeface="+mn-cs"/>
            </a:rPr>
            <a:t>requirements</a:t>
          </a:r>
          <a:r>
            <a:rPr lang="nl-NL" sz="1100">
              <a:solidFill>
                <a:schemeClr val="dk1"/>
              </a:solidFill>
              <a:effectLst/>
              <a:latin typeface="+mn-lt"/>
              <a:ea typeface="+mn-ea"/>
              <a:cs typeface="+mn-cs"/>
            </a:rPr>
            <a:t>), en niet per se wat het uiteindelijke data-element zal worden. Uiteindelijk moet er een logisch model gekozen worden dat alle behoeften kan afdekken, maar daarvoor is het eerst nodig om eenduidig te weten waar are behoefte aan is.</a:t>
          </a:r>
          <a:endParaRPr lang="nl-N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E995EB8B-E293-1E48-6A61-AC6B0CB2A5D4}"/>
            </a:ext>
          </a:extLst>
        </xdr:cNvPr>
        <xdr:cNvSpPr txBox="1"/>
      </xdr:nvSpPr>
      <xdr:spPr>
        <a:xfrm>
          <a:off x="152400" y="176211"/>
          <a:ext cx="63627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932727F7-6415-BEA1-02B5-BF895301A3F4}"/>
            </a:ext>
          </a:extLst>
        </xdr:cNvPr>
        <xdr:cNvSpPr txBox="1"/>
      </xdr:nvSpPr>
      <xdr:spPr>
        <a:xfrm>
          <a:off x="85725" y="100011"/>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Chevy Susanto" id="{E6DC4CC4-5331-4633-9C1C-269F406E61BD}" userId="S::chevy.susanto@nictiz.nl::4e93d0cc-e599-42c6-82b7-6ffb715c7e27" providerId="AD"/>
  <person displayName="Marija Zivlak" id="{86017760-9D2E-4C04-A548-4B0AED173840}" userId="S::marija.zivlak@nictiz.nl::bf2ce3ca-25b5-4480-970b-97ae1d2e4e23" providerId="AD"/>
  <person displayName="Shenaida Hoogland" id="{67CE0BAC-4786-48DE-9DCD-69E1F3FACFC1}" userId="S::shenaida.hoogland@nictiz.nl::5cd1034b-031f-49e9-a727-e4ecba7d58d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AA9086-205B-4EC4-8920-A2DD04D02676}" name="Tabel2" displayName="Tabel2" ref="A2:C13" totalsRowShown="0">
  <autoFilter ref="A2:C13" xr:uid="{7AAA9086-205B-4EC4-8920-A2DD04D02676}"/>
  <tableColumns count="3">
    <tableColumn id="1" xr3:uid="{BDCFF82A-D4BE-440B-90DF-AA26F6831D5C}" name="Veld"/>
    <tableColumn id="2" xr3:uid="{77503B9E-152C-4B39-87F4-D4FBBF1B3BDA}" name="Uitleg" dataDxfId="20"/>
    <tableColumn id="5" xr3:uid="{B530BE2A-715C-42B8-BFE1-95637D35484B}" name="Beschrijv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4A882-8085-4978-86D3-1A5B42023C72}" name="Tabel3" displayName="Tabel3" ref="A1:E17" totalsRowShown="0" headerRowDxfId="19" dataDxfId="18">
  <autoFilter ref="A1:E17" xr:uid="{1B14A882-8085-4978-86D3-1A5B42023C72}"/>
  <tableColumns count="5">
    <tableColumn id="1" xr3:uid="{2D5F85E5-856C-4A15-8C5D-D8D344B8F13C}" name="Type bron" dataDxfId="17"/>
    <tableColumn id="2" xr3:uid="{062A7D5A-6D4F-45DD-9A5C-7A2D82A1266A}" name="Naam bron" dataDxfId="16"/>
    <tableColumn id="3" xr3:uid="{24E64AAE-4BAD-402C-98B7-B46BE371B39E}" name="Toelichting" dataDxfId="15"/>
    <tableColumn id="5" xr3:uid="{98DE6918-807C-41E0-ACBA-1E2221CF05FC}" name="Informatiebehoefte verwerkt in sheet 'informatiebeheofte'" dataDxfId="14"/>
    <tableColumn id="6" xr3:uid="{8CFF4D4C-ABDD-49BC-8B49-237193168687}" name="Link naar bron informatie"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02605E-6993-49A7-90CB-92D41480A08E}" name="Tabel6" displayName="Tabel6" ref="A2:N59" totalsRowShown="0" headerRowDxfId="12">
  <autoFilter ref="A2:N59" xr:uid="{2D02605E-6993-49A7-90CB-92D41480A08E}"/>
  <tableColumns count="14">
    <tableColumn id="1" xr3:uid="{51E2B1E8-BF1C-4C85-9A83-8C69A4006993}" name="Nummer" dataDxfId="11"/>
    <tableColumn id="2" xr3:uid="{021C00E0-4FF4-4652-B8E3-674B1F145954}" name="Naam" dataDxfId="10"/>
    <tableColumn id="12" xr3:uid="{721FE94A-B8C9-44E1-A03C-56E48CDCE2A3}" name="data-element"/>
    <tableColumn id="3" xr3:uid="{12776FCA-6A89-4E9E-907F-2E30F0D43DA3}" name="Omschrijving" dataDxfId="9"/>
    <tableColumn id="4" xr3:uid="{9E28C4DB-2A8B-484B-80F1-321440976652}" name="Variabiliteit" dataDxfId="8"/>
    <tableColumn id="5" xr3:uid="{6FA3E114-7382-4230-B15E-A8DB28B8CE4B}" name="Aanwezigheid"/>
    <tableColumn id="6" xr3:uid="{E8FFDBDF-8B88-4089-89D0-252402D12764}" name="Verleden/heden/toekomst"/>
    <tableColumn id="7" xr3:uid="{BB9C62AB-9839-431A-90A2-B6A6D70DF1FB}" name="Herkomst"/>
    <tableColumn id="8" xr3:uid="{6BE87E7D-EFAE-42FD-9334-11E5EBAC9DC3}" name="Komt het in FHIR R4 voor?"/>
    <tableColumn id="9" xr3:uid="{C6EE00AA-2B37-4BE3-B349-AF61C6E68575}" name="Komt het in openEHR voor?"/>
    <tableColumn id="10" xr3:uid="{943D4BF3-315C-41FB-99E4-8DB8C54604A4}" name="Komt voor in ZIBProbleem-v4.4? (2020)"/>
    <tableColumn id="14" xr3:uid="{8B1A7EB4-D690-4A36-9698-ACA592C2A715}" name="Komt voor in ZIBProbleem? (2017)" dataDxfId="7"/>
    <tableColumn id="13" xr3:uid="{51A57E0A-A216-45BB-973D-E0D8C72BEEEC}" name="Komt voor in ZIBProbleem? (2024)" dataDxfId="6"/>
    <tableColumn id="11" xr3:uid="{E7EDB106-7E3F-4122-A864-3B3AE59C9D87}" name="Opmerking"/>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0E6C54-E02A-43EF-B5CE-2ED10C0E81CC}" name="Tabel4" displayName="Tabel4" ref="A1:B10" totalsRowShown="0">
  <autoFilter ref="A1:B10" xr:uid="{D40E6C54-E02A-43EF-B5CE-2ED10C0E81CC}"/>
  <tableColumns count="2">
    <tableColumn id="1" xr3:uid="{1D3A3996-9522-47BD-A751-E89853DA6961}" name="Onderwerp"/>
    <tableColumn id="2" xr3:uid="{94A6C837-66E7-431B-BCBD-5F91E5A4C661}" name="Toelichting"/>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319CEB-0666-49DA-BC74-CF83CFEF5B56}" name="Tabel36" displayName="Tabel36" ref="B3:E9" totalsRowShown="0" headerRowDxfId="5" dataDxfId="4">
  <autoFilter ref="B3:E9" xr:uid="{87319CEB-0666-49DA-BC74-CF83CFEF5B56}"/>
  <tableColumns count="4">
    <tableColumn id="1" xr3:uid="{560ECDF4-85E6-4E09-A58E-EF7D363E1023}" name="Data element" dataDxfId="3"/>
    <tableColumn id="2" xr3:uid="{7F322FC5-2406-403F-A6D2-4B8A1403332A}" name="Informatiestandaard" dataDxfId="2"/>
    <tableColumn id="3" xr3:uid="{735B888A-5B6D-4761-9CE2-3D7CE959A3F7}" name="Uitleg" dataDxfId="1"/>
    <tableColumn id="4" xr3:uid="{B46EF00D-8E8C-4C31-9A1B-A5AED42F9E48}" name="Uitkoms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 dT="2026-08-17T11:32:29.22" personId="{E6DC4CC4-5331-4633-9C1C-269F406E61BD}" id="{CD16CA43-E215-4DCF-A4C0-2D380EB1C0BC}">
    <text xml:space="preserve">Uit Scope en Usage van Condition FHIR R4 v4.0.1 </text>
  </threadedComment>
</ThreadedComments>
</file>

<file path=xl/threadedComments/threadedComment2.xml><?xml version="1.0" encoding="utf-8"?>
<ThreadedComments xmlns="http://schemas.microsoft.com/office/spreadsheetml/2018/threadedcomments" xmlns:x="http://schemas.openxmlformats.org/spreadsheetml/2006/main">
  <threadedComment ref="K20" dT="2026-07-20T09:26:12.56" personId="{E6DC4CC4-5331-4633-9C1C-269F406E61BD}" id="{B3533A99-0CB6-4646-9417-20A66FEFD573}">
    <text>1. Actief
2. Inactief
Kortere waardelijst</text>
  </threadedComment>
  <threadedComment ref="K26" dT="2026-07-20T09:50:58.06" personId="{E6DC4CC4-5331-4633-9C1C-269F406E61BD}" id="{20B2A504-5F6F-4996-9921-E2104F9548D8}">
    <text>Wel in metadata!</text>
  </threadedComment>
  <threadedComment ref="E29" dT="2026-07-20T11:55:56.61" personId="{86017760-9D2E-4C04-A548-4B0AED173840}" id="{DC3A08E9-01DD-48D1-B7F5-357810DE5428}">
    <text>Onduidelijk welke waardelijst gehandeerd moet worden</text>
  </threadedComment>
  <threadedComment ref="B31" dT="2026-07-22T10:46:13.79" personId="{67CE0BAC-4786-48DE-9DCD-69E1F3FACFC1}" id="{035A58F6-6A6B-4788-883F-2110C3BA07ED}">
    <text>ter discussie</text>
  </threadedComment>
  <threadedComment ref="C31" dT="2026-07-22T10:46:13.79" personId="{67CE0BAC-4786-48DE-9DCD-69E1F3FACFC1}" id="{00D6E7CD-1959-4C9A-8BC1-A1E323A0102F}">
    <text>ter discussie</text>
  </threadedComment>
  <threadedComment ref="C39" dT="2026-07-22T10:57:31.61" personId="{67CE0BAC-4786-48DE-9DCD-69E1F3FACFC1}" id="{065B39A6-9843-49BF-88E8-0C2BF95F8D00}">
    <text>ter discussie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s://www.hl7.org/fhir/R4/condition.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zibs.nl/wiki/Probleem-v4.1(2017NL)" TargetMode="External"/><Relationship Id="rId7" Type="http://schemas.openxmlformats.org/officeDocument/2006/relationships/hyperlink" Target="https://ckm.openehr.org/ckm/archetypes/1013.1.169" TargetMode="External"/><Relationship Id="rId2" Type="http://schemas.openxmlformats.org/officeDocument/2006/relationships/hyperlink" Target="https://build.fhir.org/ig/Xt-EHR/xt-ehr-common/en/StructureDefinition-EHDSCondition.html" TargetMode="External"/><Relationship Id="rId1" Type="http://schemas.openxmlformats.org/officeDocument/2006/relationships/hyperlink" Target="https://www.hl7.org/fhir/R4/condition.html" TargetMode="External"/><Relationship Id="rId6" Type="http://schemas.openxmlformats.org/officeDocument/2006/relationships/hyperlink" Target="https://decor.nictiz.nl/pub/bgz2017/bgz2017-html-20260422T141230/tr-2.16.840.1.113883.2.4.3.11.60.42.4.42-2024-03-27T165734.html" TargetMode="External"/><Relationship Id="rId5" Type="http://schemas.openxmlformats.org/officeDocument/2006/relationships/hyperlink" Target="https://www.zibs.nl/wiki/Diagnose-v2.0(2024NL)" TargetMode="External"/><Relationship Id="rId4" Type="http://schemas.openxmlformats.org/officeDocument/2006/relationships/hyperlink" Target="https://www.zibs.nl/wiki/Probleem-v4.4(2020NL)"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nictiz.atlassian.net/browse/PAT-301" TargetMode="External"/><Relationship Id="rId7" Type="http://schemas.openxmlformats.org/officeDocument/2006/relationships/table" Target="../tables/table3.xml"/><Relationship Id="rId2" Type="http://schemas.openxmlformats.org/officeDocument/2006/relationships/hyperlink" Target="https://nictiz.atlassian.net/browse/PAT-306" TargetMode="External"/><Relationship Id="rId1" Type="http://schemas.openxmlformats.org/officeDocument/2006/relationships/hyperlink" Target="https://nictiz.atlassian.net/browse/PAT-304"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1.bin"/><Relationship Id="rId9"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C19"/>
  <sheetViews>
    <sheetView workbookViewId="0">
      <selection activeCell="A22" sqref="A22"/>
    </sheetView>
  </sheetViews>
  <sheetFormatPr baseColWidth="10" defaultColWidth="8.83203125" defaultRowHeight="15" x14ac:dyDescent="0.2"/>
  <cols>
    <col min="1" max="1" width="218.5" customWidth="1"/>
  </cols>
  <sheetData>
    <row r="1" spans="1:1" ht="15" customHeight="1" x14ac:dyDescent="0.2">
      <c r="A1" s="3"/>
    </row>
    <row r="18" spans="2:3" x14ac:dyDescent="0.2">
      <c r="B18">
        <f>(510*132.5) + (160*132.5)</f>
        <v>88775</v>
      </c>
      <c r="C18">
        <v>5832</v>
      </c>
    </row>
    <row r="19" spans="2:3" x14ac:dyDescent="0.2">
      <c r="B19">
        <f>(542*132.5)</f>
        <v>71815</v>
      </c>
      <c r="C19">
        <v>5164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dimension ref="A1:C13"/>
  <sheetViews>
    <sheetView zoomScale="85" zoomScaleNormal="85" workbookViewId="0">
      <selection activeCell="C11" sqref="C11"/>
    </sheetView>
  </sheetViews>
  <sheetFormatPr baseColWidth="10" defaultColWidth="8.83203125" defaultRowHeight="15" x14ac:dyDescent="0.2"/>
  <cols>
    <col min="1" max="1" width="23" customWidth="1"/>
    <col min="2" max="2" width="46.6640625" customWidth="1"/>
    <col min="3" max="3" width="59.6640625" customWidth="1"/>
  </cols>
  <sheetData>
    <row r="1" spans="1:3" x14ac:dyDescent="0.2">
      <c r="A1" s="3"/>
    </row>
    <row r="2" spans="1:3" ht="16" x14ac:dyDescent="0.2">
      <c r="A2" s="2" t="s">
        <v>0</v>
      </c>
      <c r="B2" s="2" t="s">
        <v>373</v>
      </c>
      <c r="C2" s="3" t="s">
        <v>1</v>
      </c>
    </row>
    <row r="3" spans="1:3" ht="32" x14ac:dyDescent="0.2">
      <c r="A3" t="s">
        <v>2</v>
      </c>
      <c r="B3" s="7" t="s">
        <v>3</v>
      </c>
      <c r="C3" s="3" t="s">
        <v>4</v>
      </c>
    </row>
    <row r="4" spans="1:3" ht="96" x14ac:dyDescent="0.2">
      <c r="A4" t="s">
        <v>5</v>
      </c>
      <c r="B4" s="7" t="s">
        <v>6</v>
      </c>
      <c r="C4" s="3" t="s">
        <v>7</v>
      </c>
    </row>
    <row r="5" spans="1:3" ht="304" x14ac:dyDescent="0.2">
      <c r="A5" t="s">
        <v>8</v>
      </c>
      <c r="B5" s="7" t="s">
        <v>9</v>
      </c>
      <c r="C5" s="3" t="s">
        <v>10</v>
      </c>
    </row>
    <row r="6" spans="1:3" ht="64" x14ac:dyDescent="0.2">
      <c r="A6" t="s">
        <v>11</v>
      </c>
      <c r="B6" s="7" t="s">
        <v>12</v>
      </c>
      <c r="C6" s="3" t="s">
        <v>13</v>
      </c>
    </row>
    <row r="7" spans="1:3" ht="48" x14ac:dyDescent="0.2">
      <c r="A7" t="s">
        <v>14</v>
      </c>
      <c r="B7" s="7" t="s">
        <v>15</v>
      </c>
      <c r="C7" s="17" t="s">
        <v>16</v>
      </c>
    </row>
    <row r="8" spans="1:3" ht="48" x14ac:dyDescent="0.2">
      <c r="A8" t="s">
        <v>17</v>
      </c>
      <c r="B8" s="7" t="s">
        <v>18</v>
      </c>
      <c r="C8" s="3" t="s">
        <v>19</v>
      </c>
    </row>
    <row r="9" spans="1:3" ht="96" x14ac:dyDescent="0.2">
      <c r="A9" t="s">
        <v>20</v>
      </c>
      <c r="B9" s="7" t="s">
        <v>21</v>
      </c>
      <c r="C9" s="3" t="s">
        <v>22</v>
      </c>
    </row>
    <row r="10" spans="1:3" ht="128" x14ac:dyDescent="0.2">
      <c r="A10" t="s">
        <v>23</v>
      </c>
      <c r="B10" s="7" t="s">
        <v>24</v>
      </c>
      <c r="C10" s="4" t="s">
        <v>390</v>
      </c>
    </row>
    <row r="11" spans="1:3" ht="48" x14ac:dyDescent="0.2">
      <c r="A11" t="s">
        <v>26</v>
      </c>
      <c r="B11" s="7" t="s">
        <v>27</v>
      </c>
      <c r="C11" s="3" t="s">
        <v>28</v>
      </c>
    </row>
    <row r="12" spans="1:3" ht="256" x14ac:dyDescent="0.2">
      <c r="A12" t="s">
        <v>29</v>
      </c>
      <c r="B12" s="7"/>
      <c r="C12" s="3" t="s">
        <v>389</v>
      </c>
    </row>
    <row r="13" spans="1:3" x14ac:dyDescent="0.2">
      <c r="A13" t="s">
        <v>30</v>
      </c>
      <c r="B13" s="7"/>
    </row>
  </sheetData>
  <hyperlinks>
    <hyperlink ref="C10" r:id="rId1" display="https://www.hl7.org/fhir/R4/condition.html" xr:uid="{6169B330-2124-4ACC-9C33-24AFE1D4848F}"/>
  </hyperlinks>
  <pageMargins left="0.7" right="0.7" top="0.75" bottom="0.75" header="0.3" footer="0.3"/>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8E1-0CFC-4A69-A682-35DA329C9688}">
  <dimension ref="A1:E17"/>
  <sheetViews>
    <sheetView workbookViewId="0">
      <selection activeCell="B2" sqref="B2"/>
    </sheetView>
  </sheetViews>
  <sheetFormatPr baseColWidth="10" defaultColWidth="8.83203125" defaultRowHeight="15" x14ac:dyDescent="0.2"/>
  <cols>
    <col min="1" max="1" width="19.33203125" customWidth="1"/>
    <col min="2" max="2" width="51.33203125" customWidth="1"/>
    <col min="3" max="3" width="67.33203125" customWidth="1"/>
    <col min="4" max="4" width="28" customWidth="1"/>
    <col min="5" max="5" width="58.1640625" customWidth="1"/>
  </cols>
  <sheetData>
    <row r="1" spans="1:5" ht="28.5" customHeight="1" x14ac:dyDescent="0.2">
      <c r="A1" s="3" t="s">
        <v>31</v>
      </c>
      <c r="B1" s="3" t="s">
        <v>32</v>
      </c>
      <c r="C1" s="3" t="s">
        <v>33</v>
      </c>
      <c r="D1" s="3" t="s">
        <v>34</v>
      </c>
      <c r="E1" s="3" t="s">
        <v>35</v>
      </c>
    </row>
    <row r="2" spans="1:5" ht="48" x14ac:dyDescent="0.2">
      <c r="A2" s="3" t="s">
        <v>36</v>
      </c>
      <c r="B2" s="3" t="s">
        <v>37</v>
      </c>
      <c r="C2" s="3" t="s">
        <v>38</v>
      </c>
      <c r="D2" s="3" t="s">
        <v>39</v>
      </c>
      <c r="E2" s="4" t="s">
        <v>40</v>
      </c>
    </row>
    <row r="3" spans="1:5" ht="32" x14ac:dyDescent="0.2">
      <c r="A3" s="3" t="s">
        <v>36</v>
      </c>
      <c r="B3" s="3" t="s">
        <v>41</v>
      </c>
      <c r="C3" s="3" t="s">
        <v>42</v>
      </c>
      <c r="D3" s="3" t="s">
        <v>39</v>
      </c>
      <c r="E3" s="5" t="s">
        <v>25</v>
      </c>
    </row>
    <row r="4" spans="1:5" ht="32" x14ac:dyDescent="0.2">
      <c r="A4" s="3" t="s">
        <v>36</v>
      </c>
      <c r="B4" s="3" t="s">
        <v>43</v>
      </c>
      <c r="C4" s="3" t="s">
        <v>44</v>
      </c>
      <c r="D4" s="3" t="s">
        <v>39</v>
      </c>
      <c r="E4" s="5" t="s">
        <v>45</v>
      </c>
    </row>
    <row r="5" spans="1:5" ht="32" x14ac:dyDescent="0.2">
      <c r="A5" s="3" t="s">
        <v>46</v>
      </c>
      <c r="B5" s="3" t="s">
        <v>47</v>
      </c>
      <c r="C5" s="3" t="s">
        <v>48</v>
      </c>
      <c r="D5" s="3"/>
      <c r="E5" s="5" t="s">
        <v>49</v>
      </c>
    </row>
    <row r="6" spans="1:5" ht="16" x14ac:dyDescent="0.2">
      <c r="A6" s="3" t="s">
        <v>46</v>
      </c>
      <c r="B6" s="3" t="s">
        <v>50</v>
      </c>
      <c r="C6" s="3" t="s">
        <v>51</v>
      </c>
      <c r="D6" s="3"/>
      <c r="E6" s="5" t="s">
        <v>52</v>
      </c>
    </row>
    <row r="7" spans="1:5" ht="16" x14ac:dyDescent="0.2">
      <c r="A7" s="3" t="s">
        <v>46</v>
      </c>
      <c r="B7" s="3" t="s">
        <v>53</v>
      </c>
      <c r="C7" s="3" t="s">
        <v>51</v>
      </c>
      <c r="D7" s="3"/>
      <c r="E7" s="5" t="s">
        <v>54</v>
      </c>
    </row>
    <row r="8" spans="1:5" ht="48" x14ac:dyDescent="0.2">
      <c r="A8" s="3" t="s">
        <v>55</v>
      </c>
      <c r="B8" s="3" t="s">
        <v>56</v>
      </c>
      <c r="C8" s="3" t="s">
        <v>57</v>
      </c>
      <c r="D8" s="3" t="s">
        <v>39</v>
      </c>
      <c r="E8" s="5" t="s">
        <v>58</v>
      </c>
    </row>
    <row r="9" spans="1:5" ht="48" x14ac:dyDescent="0.2">
      <c r="A9" s="3" t="s">
        <v>55</v>
      </c>
      <c r="B9" s="3" t="s">
        <v>59</v>
      </c>
      <c r="C9" s="3" t="s">
        <v>60</v>
      </c>
      <c r="D9" s="3" t="s">
        <v>39</v>
      </c>
      <c r="E9" s="4" t="s">
        <v>61</v>
      </c>
    </row>
    <row r="10" spans="1:5" ht="16" x14ac:dyDescent="0.2">
      <c r="A10" s="3" t="s">
        <v>55</v>
      </c>
      <c r="B10" s="3"/>
      <c r="C10" s="3"/>
      <c r="D10" s="3"/>
      <c r="E10" s="6"/>
    </row>
    <row r="11" spans="1:5" x14ac:dyDescent="0.2">
      <c r="A11" s="3"/>
      <c r="B11" s="3"/>
      <c r="C11" s="3"/>
      <c r="D11" s="3"/>
      <c r="E11" s="6"/>
    </row>
    <row r="12" spans="1:5" x14ac:dyDescent="0.2">
      <c r="A12" s="3"/>
      <c r="B12" s="3"/>
      <c r="C12" s="3"/>
      <c r="D12" s="3"/>
      <c r="E12" s="6"/>
    </row>
    <row r="13" spans="1:5" x14ac:dyDescent="0.2">
      <c r="A13" s="3"/>
      <c r="B13" s="3"/>
      <c r="C13" s="3"/>
      <c r="D13" s="3"/>
      <c r="E13" s="4"/>
    </row>
    <row r="14" spans="1:5" x14ac:dyDescent="0.2">
      <c r="A14" s="3"/>
      <c r="B14" s="3"/>
      <c r="C14" s="3"/>
      <c r="D14" s="3"/>
      <c r="E14" s="4"/>
    </row>
    <row r="15" spans="1:5" x14ac:dyDescent="0.2">
      <c r="A15" s="3"/>
      <c r="B15" s="3"/>
      <c r="C15" s="3"/>
      <c r="D15" s="3"/>
      <c r="E15" s="4"/>
    </row>
    <row r="16" spans="1:5" x14ac:dyDescent="0.2">
      <c r="A16" s="3"/>
      <c r="B16" s="3"/>
      <c r="C16" s="3"/>
      <c r="D16" s="3"/>
      <c r="E16" s="4"/>
    </row>
    <row r="17" spans="1:5" x14ac:dyDescent="0.2">
      <c r="A17" s="3"/>
      <c r="B17" s="3"/>
      <c r="C17" s="3"/>
      <c r="D17" s="3"/>
      <c r="E17" s="3"/>
    </row>
  </sheetData>
  <hyperlinks>
    <hyperlink ref="E3" r:id="rId1" xr:uid="{6EB8E4BD-B940-48E6-A6CE-4F11C1A8510E}"/>
    <hyperlink ref="E2" r:id="rId2" display="Condition model - EHDS Logical Information Models v1.0.0" xr:uid="{F95A6B3D-7F5D-4E74-8C6D-B30290D6ED58}"/>
    <hyperlink ref="E7" r:id="rId3" xr:uid="{612DD86C-3891-43E3-B27A-AA6071C8917D}"/>
    <hyperlink ref="E6" r:id="rId4" xr:uid="{104C1F39-D7B8-4AE4-9031-EE6CE3C7F3A7}"/>
    <hyperlink ref="E5" r:id="rId5" xr:uid="{B27B79EC-18DD-4070-9630-609E711CCC3B}"/>
    <hyperlink ref="E8" r:id="rId6" xr:uid="{20F24860-A30F-4C37-9DE0-9FABA5DC318C}"/>
    <hyperlink ref="E4" r:id="rId7" display="https://ckm.openehr.org/ckm/archetypes/1013.1.169" xr:uid="{6DB1F6B2-19D1-473C-A11F-4BEC97E8171B}"/>
  </hyperlinks>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dimension ref="A1:O65"/>
  <sheetViews>
    <sheetView tabSelected="1" topLeftCell="A3" zoomScale="125" zoomScaleNormal="70" workbookViewId="0">
      <selection activeCell="C9" sqref="C9:C10"/>
    </sheetView>
  </sheetViews>
  <sheetFormatPr baseColWidth="10" defaultColWidth="8.83203125" defaultRowHeight="15" x14ac:dyDescent="0.2"/>
  <cols>
    <col min="1" max="1" width="11.5" customWidth="1"/>
    <col min="2" max="2" width="29.33203125" customWidth="1"/>
    <col min="3" max="3" width="32.6640625" customWidth="1"/>
    <col min="4" max="4" width="87.5" style="3" customWidth="1"/>
    <col min="5" max="5" width="78" style="3" customWidth="1"/>
    <col min="6" max="6" width="18.6640625" customWidth="1"/>
    <col min="7" max="7" width="11.5" customWidth="1"/>
    <col min="8" max="8" width="32.5" customWidth="1"/>
    <col min="9" max="9" width="28.1640625" customWidth="1"/>
    <col min="10" max="10" width="51.33203125" customWidth="1"/>
    <col min="11" max="11" width="38.5" bestFit="1" customWidth="1"/>
    <col min="12" max="13" width="38.5" customWidth="1"/>
    <col min="14" max="14" width="33.33203125" customWidth="1"/>
  </cols>
  <sheetData>
    <row r="1" spans="1:15" ht="99.75" customHeight="1" x14ac:dyDescent="0.2"/>
    <row r="2" spans="1:15" ht="16" x14ac:dyDescent="0.2">
      <c r="A2" t="s">
        <v>62</v>
      </c>
      <c r="B2" t="s">
        <v>63</v>
      </c>
      <c r="C2" t="s">
        <v>64</v>
      </c>
      <c r="D2" s="10" t="s">
        <v>65</v>
      </c>
      <c r="E2" s="10" t="s">
        <v>66</v>
      </c>
      <c r="F2" s="2" t="s">
        <v>67</v>
      </c>
      <c r="G2" s="2" t="s">
        <v>68</v>
      </c>
      <c r="H2" s="2" t="s">
        <v>69</v>
      </c>
      <c r="I2" s="11" t="s">
        <v>70</v>
      </c>
      <c r="J2" s="11" t="s">
        <v>71</v>
      </c>
      <c r="K2" s="2" t="s">
        <v>72</v>
      </c>
      <c r="L2" s="2" t="s">
        <v>73</v>
      </c>
      <c r="M2" s="2" t="s">
        <v>74</v>
      </c>
      <c r="N2" s="2" t="s">
        <v>75</v>
      </c>
    </row>
    <row r="3" spans="1:15" ht="182.25" customHeight="1" x14ac:dyDescent="0.2">
      <c r="A3" s="19" t="s">
        <v>80</v>
      </c>
      <c r="B3" s="18" t="s">
        <v>81</v>
      </c>
      <c r="C3" s="18"/>
      <c r="D3" s="19"/>
      <c r="E3" s="19"/>
      <c r="F3" s="19"/>
      <c r="G3" s="19"/>
      <c r="H3" s="19"/>
      <c r="I3" s="3" t="s">
        <v>82</v>
      </c>
      <c r="J3" s="3" t="s">
        <v>83</v>
      </c>
      <c r="K3" s="19" t="s">
        <v>84</v>
      </c>
      <c r="L3" s="19" t="s">
        <v>84</v>
      </c>
      <c r="M3" s="19" t="s">
        <v>84</v>
      </c>
      <c r="N3" s="19"/>
      <c r="O3" s="9"/>
    </row>
    <row r="4" spans="1:15" ht="16" x14ac:dyDescent="0.2">
      <c r="A4" s="19" t="s">
        <v>85</v>
      </c>
      <c r="B4" s="8" t="s">
        <v>86</v>
      </c>
      <c r="D4" s="3" t="s">
        <v>87</v>
      </c>
      <c r="E4" s="3" t="s">
        <v>88</v>
      </c>
      <c r="F4" s="3" t="s">
        <v>89</v>
      </c>
      <c r="G4" s="3"/>
      <c r="H4" s="3" t="s">
        <v>90</v>
      </c>
      <c r="I4" s="3"/>
      <c r="J4" s="3"/>
      <c r="K4" s="3"/>
      <c r="L4" s="3"/>
      <c r="M4" s="3"/>
      <c r="N4" s="3"/>
    </row>
    <row r="5" spans="1:15" ht="48" x14ac:dyDescent="0.2">
      <c r="A5" s="19" t="s">
        <v>91</v>
      </c>
      <c r="B5" s="8" t="s">
        <v>92</v>
      </c>
      <c r="D5" s="3" t="s">
        <v>93</v>
      </c>
      <c r="E5" s="3" t="s">
        <v>94</v>
      </c>
      <c r="F5" s="3" t="s">
        <v>89</v>
      </c>
      <c r="G5" s="3"/>
      <c r="H5" s="3" t="s">
        <v>95</v>
      </c>
      <c r="I5" s="3"/>
      <c r="J5" s="3"/>
      <c r="K5" s="3"/>
      <c r="L5" s="3"/>
      <c r="M5" s="3"/>
      <c r="N5" s="3"/>
    </row>
    <row r="6" spans="1:15" ht="16" x14ac:dyDescent="0.2">
      <c r="A6" s="19" t="s">
        <v>96</v>
      </c>
      <c r="B6" s="8" t="s">
        <v>86</v>
      </c>
      <c r="D6" s="3" t="s">
        <v>97</v>
      </c>
      <c r="E6" s="3" t="s">
        <v>98</v>
      </c>
      <c r="F6" s="3" t="s">
        <v>89</v>
      </c>
      <c r="G6" s="3"/>
      <c r="H6" s="3" t="s">
        <v>41</v>
      </c>
      <c r="I6" s="3"/>
      <c r="J6" s="3"/>
      <c r="K6" s="3"/>
      <c r="L6" s="3"/>
      <c r="M6" s="3"/>
      <c r="N6" s="3"/>
    </row>
    <row r="7" spans="1:15" ht="80" x14ac:dyDescent="0.2">
      <c r="A7" s="9" t="s">
        <v>99</v>
      </c>
      <c r="B7" s="8" t="s">
        <v>100</v>
      </c>
      <c r="D7" s="3" t="s">
        <v>101</v>
      </c>
      <c r="E7" s="3" t="s">
        <v>88</v>
      </c>
      <c r="F7" s="3" t="s">
        <v>89</v>
      </c>
      <c r="G7" s="3"/>
      <c r="H7" s="3" t="s">
        <v>102</v>
      </c>
      <c r="I7" s="3"/>
      <c r="J7" s="3"/>
      <c r="K7" s="3"/>
      <c r="L7" s="3"/>
      <c r="M7" s="3"/>
      <c r="N7" s="3"/>
    </row>
    <row r="8" spans="1:15" ht="32" x14ac:dyDescent="0.2">
      <c r="A8" s="9" t="s">
        <v>103</v>
      </c>
      <c r="B8" s="26" t="s">
        <v>104</v>
      </c>
      <c r="C8" s="8"/>
      <c r="D8" s="3" t="s">
        <v>105</v>
      </c>
      <c r="F8" s="3"/>
      <c r="G8" s="3"/>
      <c r="H8" s="3"/>
      <c r="I8" s="3"/>
      <c r="J8" s="3"/>
      <c r="K8" s="3"/>
      <c r="L8" s="3"/>
      <c r="M8" s="3"/>
      <c r="N8" s="3"/>
    </row>
    <row r="9" spans="1:15" ht="48" x14ac:dyDescent="0.2">
      <c r="A9" s="19" t="s">
        <v>106</v>
      </c>
      <c r="C9" s="3" t="s">
        <v>107</v>
      </c>
      <c r="D9" s="3" t="s">
        <v>108</v>
      </c>
      <c r="F9" s="3" t="s">
        <v>109</v>
      </c>
      <c r="G9" s="3"/>
      <c r="H9" s="3" t="s">
        <v>90</v>
      </c>
      <c r="I9" s="3" t="s">
        <v>110</v>
      </c>
      <c r="J9" s="3" t="s">
        <v>111</v>
      </c>
      <c r="K9" s="3" t="s">
        <v>112</v>
      </c>
      <c r="L9" s="3" t="s">
        <v>113</v>
      </c>
      <c r="M9" s="3"/>
      <c r="N9" s="3"/>
    </row>
    <row r="10" spans="1:15" ht="32" x14ac:dyDescent="0.2">
      <c r="A10" s="19" t="s">
        <v>114</v>
      </c>
      <c r="B10" s="3"/>
      <c r="C10" s="3" t="s">
        <v>115</v>
      </c>
      <c r="D10" s="3" t="s">
        <v>116</v>
      </c>
      <c r="F10" s="3" t="s">
        <v>117</v>
      </c>
      <c r="G10" s="3"/>
      <c r="H10" s="3" t="s">
        <v>118</v>
      </c>
      <c r="I10" s="3"/>
      <c r="J10" s="3"/>
      <c r="K10" s="3"/>
      <c r="L10" s="3" t="s">
        <v>113</v>
      </c>
      <c r="M10" s="3"/>
      <c r="N10" s="3"/>
    </row>
    <row r="11" spans="1:15" ht="64" x14ac:dyDescent="0.2">
      <c r="A11" s="19" t="s">
        <v>119</v>
      </c>
      <c r="B11" s="10" t="s">
        <v>120</v>
      </c>
      <c r="C11" s="10"/>
      <c r="D11" s="3" t="s">
        <v>121</v>
      </c>
      <c r="F11" s="3" t="s">
        <v>122</v>
      </c>
      <c r="G11" s="3"/>
      <c r="H11" s="3" t="s">
        <v>90</v>
      </c>
      <c r="I11" s="3" t="s">
        <v>123</v>
      </c>
      <c r="J11" s="23" t="s">
        <v>124</v>
      </c>
      <c r="K11" s="3" t="s">
        <v>125</v>
      </c>
      <c r="L11" s="3" t="s">
        <v>126</v>
      </c>
      <c r="M11" s="3"/>
      <c r="N11" s="3"/>
    </row>
    <row r="12" spans="1:15" ht="96" x14ac:dyDescent="0.2">
      <c r="A12" s="19" t="s">
        <v>127</v>
      </c>
      <c r="B12" s="3" t="s">
        <v>128</v>
      </c>
      <c r="C12" s="3" t="s">
        <v>129</v>
      </c>
      <c r="D12" s="3" t="s">
        <v>130</v>
      </c>
      <c r="E12" s="3" t="s">
        <v>131</v>
      </c>
      <c r="F12" s="3"/>
      <c r="G12" s="3"/>
      <c r="H12" s="3" t="s">
        <v>132</v>
      </c>
      <c r="I12" s="3" t="s">
        <v>133</v>
      </c>
      <c r="J12" s="3" t="s">
        <v>134</v>
      </c>
      <c r="K12" s="3" t="s">
        <v>112</v>
      </c>
      <c r="L12" s="3" t="s">
        <v>113</v>
      </c>
      <c r="M12" s="3"/>
      <c r="N12" s="3"/>
    </row>
    <row r="13" spans="1:15" ht="180.75" customHeight="1" x14ac:dyDescent="0.2">
      <c r="A13" s="19" t="s">
        <v>135</v>
      </c>
      <c r="B13" s="3" t="s">
        <v>136</v>
      </c>
      <c r="C13" s="3" t="s">
        <v>137</v>
      </c>
      <c r="D13" s="3" t="s">
        <v>138</v>
      </c>
      <c r="E13" s="3" t="s">
        <v>139</v>
      </c>
      <c r="F13" s="3"/>
      <c r="G13" s="3"/>
      <c r="H13" s="3" t="s">
        <v>140</v>
      </c>
      <c r="I13" s="3" t="s">
        <v>141</v>
      </c>
      <c r="J13" s="3" t="s">
        <v>134</v>
      </c>
      <c r="K13" s="3" t="s">
        <v>112</v>
      </c>
      <c r="L13" s="3" t="s">
        <v>113</v>
      </c>
      <c r="M13" s="3"/>
      <c r="N13" s="3"/>
    </row>
    <row r="14" spans="1:15" ht="16" x14ac:dyDescent="0.2">
      <c r="A14" s="19" t="s">
        <v>142</v>
      </c>
      <c r="B14" s="3" t="s">
        <v>143</v>
      </c>
      <c r="C14" s="3" t="s">
        <v>144</v>
      </c>
      <c r="D14" s="3" t="s">
        <v>145</v>
      </c>
      <c r="E14" s="3" t="s">
        <v>146</v>
      </c>
      <c r="F14" s="3"/>
      <c r="G14" s="3"/>
      <c r="H14" s="3" t="s">
        <v>90</v>
      </c>
      <c r="I14" s="3" t="s">
        <v>112</v>
      </c>
      <c r="J14" s="3" t="s">
        <v>134</v>
      </c>
      <c r="K14" s="3" t="s">
        <v>112</v>
      </c>
      <c r="L14" s="3"/>
      <c r="M14" s="3"/>
      <c r="N14" s="3"/>
    </row>
    <row r="15" spans="1:15" ht="135" customHeight="1" x14ac:dyDescent="0.2">
      <c r="A15" s="9" t="s">
        <v>147</v>
      </c>
      <c r="B15" s="3" t="s">
        <v>148</v>
      </c>
      <c r="C15" s="3" t="s">
        <v>149</v>
      </c>
      <c r="D15" s="23" t="s">
        <v>150</v>
      </c>
      <c r="E15" s="3" t="s">
        <v>151</v>
      </c>
      <c r="F15" s="3"/>
      <c r="G15" s="3"/>
      <c r="H15" s="3" t="s">
        <v>152</v>
      </c>
      <c r="I15" s="3" t="s">
        <v>153</v>
      </c>
      <c r="J15" s="3" t="s">
        <v>153</v>
      </c>
      <c r="K15" s="3" t="s">
        <v>112</v>
      </c>
      <c r="L15" s="3"/>
      <c r="M15" s="3"/>
      <c r="N15" s="3"/>
    </row>
    <row r="16" spans="1:15" ht="16" x14ac:dyDescent="0.2">
      <c r="A16" s="9" t="s">
        <v>154</v>
      </c>
      <c r="B16" s="22" t="s">
        <v>155</v>
      </c>
      <c r="C16" s="3"/>
      <c r="F16" s="3"/>
      <c r="G16" s="3"/>
      <c r="H16" s="3"/>
      <c r="I16" s="3"/>
      <c r="J16" s="3"/>
      <c r="K16" s="3"/>
      <c r="L16" s="3"/>
      <c r="M16" s="3"/>
      <c r="N16" s="3"/>
    </row>
    <row r="17" spans="1:14" ht="54.75" customHeight="1" x14ac:dyDescent="0.2">
      <c r="A17" s="19" t="s">
        <v>156</v>
      </c>
      <c r="B17" s="3"/>
      <c r="C17" s="3" t="s">
        <v>157</v>
      </c>
      <c r="D17" s="3" t="s">
        <v>158</v>
      </c>
      <c r="E17" s="3" t="s">
        <v>159</v>
      </c>
      <c r="F17" s="3" t="s">
        <v>160</v>
      </c>
      <c r="G17" s="3"/>
      <c r="H17" s="3" t="s">
        <v>90</v>
      </c>
      <c r="I17" s="3" t="s">
        <v>161</v>
      </c>
      <c r="J17" s="32" t="s">
        <v>162</v>
      </c>
      <c r="K17" s="3" t="s">
        <v>112</v>
      </c>
      <c r="L17" s="3"/>
      <c r="M17" s="3"/>
      <c r="N17" s="3"/>
    </row>
    <row r="18" spans="1:14" ht="70.5" customHeight="1" x14ac:dyDescent="0.2">
      <c r="A18" s="19" t="s">
        <v>163</v>
      </c>
      <c r="B18" s="3"/>
      <c r="C18" s="3" t="s">
        <v>164</v>
      </c>
      <c r="D18" s="3" t="s">
        <v>165</v>
      </c>
      <c r="E18" s="3" t="s">
        <v>166</v>
      </c>
      <c r="F18" s="3" t="s">
        <v>89</v>
      </c>
      <c r="G18" s="3"/>
      <c r="H18" s="3" t="s">
        <v>167</v>
      </c>
      <c r="I18" s="3"/>
      <c r="J18" s="3"/>
      <c r="K18" s="3"/>
      <c r="L18" s="3"/>
      <c r="M18" s="3"/>
      <c r="N18" s="3"/>
    </row>
    <row r="19" spans="1:14" ht="16" x14ac:dyDescent="0.2">
      <c r="A19" s="9" t="s">
        <v>168</v>
      </c>
      <c r="B19" s="22" t="s">
        <v>169</v>
      </c>
      <c r="C19" s="3"/>
      <c r="D19" s="3" t="s">
        <v>170</v>
      </c>
      <c r="F19" s="3"/>
      <c r="G19" s="3"/>
      <c r="H19" s="3"/>
      <c r="I19" s="3"/>
      <c r="J19" s="3"/>
      <c r="K19" s="3"/>
      <c r="L19" s="3"/>
      <c r="M19" s="3"/>
      <c r="N19" s="3"/>
    </row>
    <row r="20" spans="1:14" ht="101.25" customHeight="1" x14ac:dyDescent="0.2">
      <c r="A20" s="19" t="s">
        <v>171</v>
      </c>
      <c r="B20" s="22" t="s">
        <v>169</v>
      </c>
      <c r="C20" s="3" t="s">
        <v>172</v>
      </c>
      <c r="D20" s="3" t="s">
        <v>173</v>
      </c>
      <c r="E20" s="37" t="s">
        <v>174</v>
      </c>
      <c r="F20" s="3" t="s">
        <v>89</v>
      </c>
      <c r="G20" s="3"/>
      <c r="H20" s="3" t="s">
        <v>90</v>
      </c>
      <c r="I20" s="3" t="s">
        <v>175</v>
      </c>
      <c r="J20" s="20" t="s">
        <v>176</v>
      </c>
      <c r="K20" s="3" t="s">
        <v>177</v>
      </c>
      <c r="L20" s="3"/>
      <c r="M20" s="3"/>
      <c r="N20" s="4" t="s">
        <v>178</v>
      </c>
    </row>
    <row r="21" spans="1:14" ht="108" customHeight="1" x14ac:dyDescent="0.2">
      <c r="A21" s="19" t="s">
        <v>179</v>
      </c>
      <c r="C21" s="3" t="s">
        <v>172</v>
      </c>
      <c r="D21" s="3" t="s">
        <v>180</v>
      </c>
      <c r="E21" s="3" t="s">
        <v>181</v>
      </c>
      <c r="F21" s="3" t="s">
        <v>89</v>
      </c>
      <c r="G21" s="3"/>
      <c r="H21" s="3" t="s">
        <v>182</v>
      </c>
      <c r="I21" s="3" t="s">
        <v>175</v>
      </c>
      <c r="J21" s="3" t="s">
        <v>134</v>
      </c>
      <c r="K21" s="3"/>
      <c r="L21" s="3"/>
      <c r="M21" s="3"/>
      <c r="N21" s="3"/>
    </row>
    <row r="22" spans="1:14" ht="16" x14ac:dyDescent="0.2">
      <c r="A22" s="19" t="s">
        <v>183</v>
      </c>
      <c r="B22" s="10" t="s">
        <v>184</v>
      </c>
      <c r="C22" s="10"/>
      <c r="F22" s="3"/>
      <c r="G22" s="3"/>
      <c r="H22" s="3"/>
      <c r="I22" s="3"/>
      <c r="J22" s="23"/>
      <c r="K22" s="3"/>
      <c r="L22" s="36"/>
      <c r="M22" s="3"/>
      <c r="N22" s="3"/>
    </row>
    <row r="23" spans="1:14" ht="64" x14ac:dyDescent="0.2">
      <c r="A23" s="9" t="s">
        <v>185</v>
      </c>
      <c r="B23" s="3"/>
      <c r="C23" s="23" t="s">
        <v>186</v>
      </c>
      <c r="D23" s="3" t="s">
        <v>187</v>
      </c>
      <c r="E23" s="3" t="s">
        <v>188</v>
      </c>
      <c r="F23" s="3" t="s">
        <v>160</v>
      </c>
      <c r="G23" s="3"/>
      <c r="H23" s="3" t="s">
        <v>90</v>
      </c>
      <c r="I23" s="38" t="s">
        <v>189</v>
      </c>
      <c r="J23" s="23" t="s">
        <v>190</v>
      </c>
      <c r="K23" s="3" t="s">
        <v>191</v>
      </c>
      <c r="L23" s="36" t="s">
        <v>192</v>
      </c>
      <c r="M23" s="3" t="s">
        <v>193</v>
      </c>
      <c r="N23" s="5" t="s">
        <v>194</v>
      </c>
    </row>
    <row r="24" spans="1:14" ht="80" x14ac:dyDescent="0.2">
      <c r="A24" s="9" t="s">
        <v>195</v>
      </c>
      <c r="B24" s="3"/>
      <c r="C24" s="23" t="s">
        <v>196</v>
      </c>
      <c r="D24" s="3" t="s">
        <v>197</v>
      </c>
      <c r="E24" s="3" t="s">
        <v>198</v>
      </c>
      <c r="F24" s="3" t="s">
        <v>160</v>
      </c>
      <c r="G24" s="3"/>
      <c r="H24" s="3" t="s">
        <v>95</v>
      </c>
      <c r="I24" s="38"/>
      <c r="J24" s="23"/>
      <c r="K24" s="3"/>
      <c r="L24" s="39"/>
      <c r="M24" s="3"/>
      <c r="N24" s="5"/>
    </row>
    <row r="25" spans="1:14" ht="149.25" customHeight="1" x14ac:dyDescent="0.2">
      <c r="A25" s="9" t="s">
        <v>199</v>
      </c>
      <c r="B25" s="3"/>
      <c r="C25" s="36" t="s">
        <v>200</v>
      </c>
      <c r="D25" s="37" t="s">
        <v>201</v>
      </c>
      <c r="E25" s="37" t="s">
        <v>202</v>
      </c>
      <c r="F25" s="3" t="s">
        <v>160</v>
      </c>
      <c r="G25" s="3"/>
      <c r="H25" s="3" t="s">
        <v>203</v>
      </c>
      <c r="I25" s="3"/>
      <c r="J25" s="23"/>
      <c r="K25" s="3"/>
      <c r="L25" s="3"/>
      <c r="M25" s="3"/>
      <c r="N25" s="3"/>
    </row>
    <row r="26" spans="1:14" ht="48" x14ac:dyDescent="0.2">
      <c r="A26" s="19" t="s">
        <v>204</v>
      </c>
      <c r="B26" s="10" t="s">
        <v>205</v>
      </c>
      <c r="C26" s="10"/>
      <c r="D26" s="3" t="s">
        <v>206</v>
      </c>
      <c r="E26" s="3" t="s">
        <v>207</v>
      </c>
      <c r="F26" s="3" t="s">
        <v>160</v>
      </c>
      <c r="G26" s="3"/>
      <c r="H26" s="3" t="s">
        <v>90</v>
      </c>
      <c r="I26" s="3" t="s">
        <v>208</v>
      </c>
      <c r="J26" s="3" t="s">
        <v>209</v>
      </c>
      <c r="K26" s="3" t="s">
        <v>112</v>
      </c>
      <c r="L26" s="3"/>
      <c r="M26" s="3"/>
      <c r="N26" s="3"/>
    </row>
    <row r="27" spans="1:14" ht="16" x14ac:dyDescent="0.2">
      <c r="A27" s="19" t="s">
        <v>210</v>
      </c>
      <c r="B27" s="22" t="s">
        <v>211</v>
      </c>
      <c r="C27" s="22"/>
      <c r="F27" s="3"/>
      <c r="G27" s="3"/>
      <c r="H27" s="3"/>
      <c r="I27" s="3" t="s">
        <v>212</v>
      </c>
      <c r="J27" s="3" t="s">
        <v>213</v>
      </c>
      <c r="K27" s="3" t="s">
        <v>214</v>
      </c>
      <c r="L27" s="3"/>
      <c r="M27" s="3"/>
      <c r="N27" s="3"/>
    </row>
    <row r="28" spans="1:14" ht="47.25" customHeight="1" x14ac:dyDescent="0.2">
      <c r="A28" s="19" t="s">
        <v>215</v>
      </c>
      <c r="B28" s="3"/>
      <c r="C28" s="3" t="s">
        <v>216</v>
      </c>
      <c r="D28" s="3" t="s">
        <v>217</v>
      </c>
      <c r="E28" s="3" t="s">
        <v>218</v>
      </c>
      <c r="F28" s="3" t="s">
        <v>89</v>
      </c>
      <c r="G28" s="3"/>
      <c r="H28" s="3" t="s">
        <v>90</v>
      </c>
      <c r="I28" s="3"/>
      <c r="N28" s="3"/>
    </row>
    <row r="29" spans="1:14" ht="27.75" customHeight="1" x14ac:dyDescent="0.2">
      <c r="A29" s="19" t="s">
        <v>219</v>
      </c>
      <c r="B29" s="3"/>
      <c r="C29" s="3" t="s">
        <v>220</v>
      </c>
      <c r="D29" s="3" t="s">
        <v>221</v>
      </c>
      <c r="E29" s="3" t="s">
        <v>222</v>
      </c>
      <c r="F29" s="3" t="s">
        <v>89</v>
      </c>
      <c r="G29" s="3"/>
      <c r="H29" s="3" t="s">
        <v>95</v>
      </c>
      <c r="I29" s="3"/>
      <c r="J29" s="3"/>
      <c r="K29" s="3"/>
      <c r="L29" s="3"/>
      <c r="M29" s="3"/>
      <c r="N29" s="3"/>
    </row>
    <row r="30" spans="1:14" ht="32.25" customHeight="1" x14ac:dyDescent="0.2">
      <c r="A30" s="19" t="s">
        <v>223</v>
      </c>
      <c r="B30" s="3"/>
      <c r="C30" s="3" t="s">
        <v>224</v>
      </c>
      <c r="D30" s="3" t="s">
        <v>225</v>
      </c>
      <c r="E30" s="3" t="s">
        <v>226</v>
      </c>
      <c r="F30" s="3" t="s">
        <v>89</v>
      </c>
      <c r="G30" s="3"/>
      <c r="H30" s="3" t="s">
        <v>227</v>
      </c>
      <c r="I30" s="3"/>
      <c r="J30" s="3"/>
      <c r="K30" s="3"/>
      <c r="L30" s="3"/>
      <c r="M30" s="3"/>
      <c r="N30" s="3"/>
    </row>
    <row r="31" spans="1:14" ht="219" customHeight="1" x14ac:dyDescent="0.2">
      <c r="A31" s="19" t="s">
        <v>228</v>
      </c>
      <c r="B31" s="3"/>
      <c r="C31" s="3" t="s">
        <v>229</v>
      </c>
      <c r="D31" s="3" t="s">
        <v>230</v>
      </c>
      <c r="E31" s="3" t="s">
        <v>231</v>
      </c>
      <c r="F31" s="3" t="s">
        <v>160</v>
      </c>
      <c r="G31" s="3"/>
      <c r="H31" s="3" t="s">
        <v>232</v>
      </c>
      <c r="I31" s="3"/>
      <c r="J31" s="3"/>
      <c r="K31" s="3"/>
      <c r="L31" s="3"/>
      <c r="M31" s="3"/>
      <c r="N31" s="3"/>
    </row>
    <row r="32" spans="1:14" ht="37.5" customHeight="1" x14ac:dyDescent="0.2">
      <c r="A32" s="9" t="s">
        <v>233</v>
      </c>
      <c r="B32" s="10" t="s">
        <v>234</v>
      </c>
      <c r="C32" s="10"/>
      <c r="D32" s="3" t="s">
        <v>235</v>
      </c>
      <c r="F32" s="3"/>
      <c r="G32" s="3" t="s">
        <v>236</v>
      </c>
      <c r="H32" s="3"/>
      <c r="I32" s="3" t="s">
        <v>237</v>
      </c>
      <c r="J32" s="3" t="s">
        <v>238</v>
      </c>
      <c r="K32" s="3" t="s">
        <v>239</v>
      </c>
      <c r="L32" s="3"/>
      <c r="M32" s="3"/>
      <c r="N32" s="3"/>
    </row>
    <row r="33" spans="1:14" ht="16" x14ac:dyDescent="0.2">
      <c r="A33" s="19" t="s">
        <v>240</v>
      </c>
      <c r="B33" s="3"/>
      <c r="C33" s="3" t="s">
        <v>241</v>
      </c>
      <c r="D33" s="3" t="s">
        <v>242</v>
      </c>
      <c r="E33" s="3" t="s">
        <v>159</v>
      </c>
      <c r="F33" s="3" t="s">
        <v>160</v>
      </c>
      <c r="G33" s="3"/>
      <c r="H33" s="3" t="s">
        <v>90</v>
      </c>
      <c r="N33" s="3"/>
    </row>
    <row r="34" spans="1:14" ht="162" customHeight="1" x14ac:dyDescent="0.2">
      <c r="A34" s="19" t="s">
        <v>243</v>
      </c>
      <c r="B34" s="3"/>
      <c r="C34" s="3" t="s">
        <v>244</v>
      </c>
      <c r="D34" s="3" t="s">
        <v>245</v>
      </c>
      <c r="E34" s="3" t="s">
        <v>246</v>
      </c>
      <c r="F34" s="3" t="s">
        <v>160</v>
      </c>
      <c r="G34" s="3"/>
      <c r="H34" s="3" t="s">
        <v>247</v>
      </c>
      <c r="I34" s="3"/>
      <c r="J34" s="31"/>
      <c r="K34" s="3"/>
      <c r="L34" s="3"/>
      <c r="M34" s="3"/>
      <c r="N34" s="3"/>
    </row>
    <row r="35" spans="1:14" ht="121.5" customHeight="1" x14ac:dyDescent="0.2">
      <c r="A35" s="9" t="s">
        <v>248</v>
      </c>
      <c r="B35" s="3"/>
      <c r="C35" s="3" t="s">
        <v>249</v>
      </c>
      <c r="D35" s="3" t="s">
        <v>250</v>
      </c>
      <c r="E35" s="3" t="s">
        <v>251</v>
      </c>
      <c r="F35" s="3" t="s">
        <v>89</v>
      </c>
      <c r="G35" s="3"/>
      <c r="H35" s="3" t="s">
        <v>252</v>
      </c>
      <c r="I35" s="3"/>
      <c r="J35" s="3"/>
      <c r="K35" s="3"/>
      <c r="L35" s="3"/>
      <c r="M35" s="3"/>
      <c r="N35" s="3"/>
    </row>
    <row r="36" spans="1:14" ht="32" x14ac:dyDescent="0.2">
      <c r="A36" s="9" t="s">
        <v>253</v>
      </c>
      <c r="B36" s="10" t="s">
        <v>254</v>
      </c>
      <c r="C36" s="10"/>
      <c r="D36" s="3" t="s">
        <v>255</v>
      </c>
      <c r="F36" s="3"/>
      <c r="G36" s="3" t="s">
        <v>256</v>
      </c>
      <c r="H36" s="3"/>
      <c r="I36" s="3" t="s">
        <v>257</v>
      </c>
      <c r="J36" s="3" t="s">
        <v>258</v>
      </c>
      <c r="K36" s="3"/>
      <c r="L36" s="3"/>
      <c r="M36" s="3"/>
      <c r="N36" s="3"/>
    </row>
    <row r="37" spans="1:14" ht="16" x14ac:dyDescent="0.2">
      <c r="A37" s="19" t="s">
        <v>259</v>
      </c>
      <c r="B37" s="3"/>
      <c r="C37" s="3" t="s">
        <v>260</v>
      </c>
      <c r="D37" s="3" t="s">
        <v>261</v>
      </c>
      <c r="E37" s="3" t="s">
        <v>159</v>
      </c>
      <c r="F37" s="3" t="s">
        <v>160</v>
      </c>
      <c r="G37" s="3"/>
      <c r="H37" s="3" t="s">
        <v>90</v>
      </c>
      <c r="K37" s="3" t="s">
        <v>262</v>
      </c>
      <c r="L37" s="3"/>
      <c r="M37" s="3"/>
      <c r="N37" s="3"/>
    </row>
    <row r="38" spans="1:14" ht="66.75" customHeight="1" x14ac:dyDescent="0.2">
      <c r="A38" s="19" t="s">
        <v>263</v>
      </c>
      <c r="B38" s="3"/>
      <c r="C38" s="3" t="s">
        <v>264</v>
      </c>
      <c r="D38" s="3" t="s">
        <v>265</v>
      </c>
      <c r="E38" s="3" t="s">
        <v>266</v>
      </c>
      <c r="F38" s="3" t="s">
        <v>160</v>
      </c>
      <c r="G38" s="3"/>
      <c r="H38" s="3" t="s">
        <v>247</v>
      </c>
      <c r="I38" s="3"/>
      <c r="J38" s="3"/>
      <c r="K38" s="3"/>
      <c r="L38" s="3"/>
      <c r="M38" s="3"/>
      <c r="N38" s="3"/>
    </row>
    <row r="39" spans="1:14" ht="178.5" customHeight="1" x14ac:dyDescent="0.2">
      <c r="A39" s="9" t="s">
        <v>267</v>
      </c>
      <c r="B39" s="3"/>
      <c r="C39" s="34" t="s">
        <v>268</v>
      </c>
      <c r="D39" s="17" t="s">
        <v>269</v>
      </c>
      <c r="E39" s="3" t="s">
        <v>159</v>
      </c>
      <c r="F39" s="3" t="s">
        <v>160</v>
      </c>
      <c r="G39" s="3"/>
      <c r="H39" s="3" t="s">
        <v>270</v>
      </c>
      <c r="I39" s="3"/>
      <c r="J39" s="3"/>
      <c r="K39" s="3"/>
      <c r="L39" s="3"/>
      <c r="M39" s="3"/>
      <c r="N39" s="3"/>
    </row>
    <row r="40" spans="1:14" ht="135" customHeight="1" x14ac:dyDescent="0.2">
      <c r="A40" s="19" t="s">
        <v>271</v>
      </c>
      <c r="B40" s="10" t="s">
        <v>272</v>
      </c>
      <c r="C40" s="10"/>
      <c r="D40" s="3" t="s">
        <v>273</v>
      </c>
      <c r="E40" s="3" t="s">
        <v>188</v>
      </c>
      <c r="F40" s="3" t="s">
        <v>109</v>
      </c>
      <c r="G40" s="3"/>
      <c r="H40" s="3" t="s">
        <v>90</v>
      </c>
      <c r="I40" s="3" t="s">
        <v>274</v>
      </c>
      <c r="J40" s="20" t="s">
        <v>275</v>
      </c>
      <c r="K40" s="3"/>
      <c r="L40" s="3"/>
      <c r="M40" s="3"/>
      <c r="N40" s="3"/>
    </row>
    <row r="41" spans="1:14" ht="54.75" customHeight="1" x14ac:dyDescent="0.2">
      <c r="A41" s="9" t="s">
        <v>276</v>
      </c>
      <c r="B41" s="3"/>
      <c r="C41" s="10"/>
      <c r="D41" s="3" t="s">
        <v>277</v>
      </c>
      <c r="E41" s="3" t="s">
        <v>278</v>
      </c>
      <c r="F41" s="3" t="s">
        <v>160</v>
      </c>
      <c r="G41" s="3"/>
      <c r="H41" s="3" t="s">
        <v>279</v>
      </c>
      <c r="I41" s="3" t="s">
        <v>274</v>
      </c>
      <c r="J41" s="3"/>
      <c r="K41" s="3"/>
      <c r="L41" s="3"/>
      <c r="M41" s="3"/>
      <c r="N41" s="3"/>
    </row>
    <row r="42" spans="1:14" ht="98.25" customHeight="1" x14ac:dyDescent="0.2">
      <c r="A42" s="9" t="s">
        <v>280</v>
      </c>
      <c r="B42" s="3"/>
      <c r="C42" s="10"/>
      <c r="D42" s="3" t="s">
        <v>281</v>
      </c>
      <c r="E42" s="3" t="s">
        <v>282</v>
      </c>
      <c r="F42" s="3" t="s">
        <v>160</v>
      </c>
      <c r="G42" s="3"/>
      <c r="H42" s="3" t="s">
        <v>283</v>
      </c>
      <c r="I42" s="3"/>
      <c r="J42" s="3" t="s">
        <v>284</v>
      </c>
      <c r="K42" s="3"/>
      <c r="L42" s="3"/>
      <c r="M42" s="3"/>
      <c r="N42" s="3"/>
    </row>
    <row r="43" spans="1:14" ht="32" x14ac:dyDescent="0.2">
      <c r="A43" s="19" t="s">
        <v>285</v>
      </c>
      <c r="B43" s="10" t="s">
        <v>286</v>
      </c>
      <c r="C43" s="10"/>
      <c r="D43" s="3" t="s">
        <v>287</v>
      </c>
      <c r="E43" s="3" t="s">
        <v>288</v>
      </c>
      <c r="F43" s="3" t="s">
        <v>160</v>
      </c>
      <c r="G43" s="3"/>
      <c r="H43" s="3" t="s">
        <v>90</v>
      </c>
      <c r="I43" s="33" t="s">
        <v>289</v>
      </c>
      <c r="J43" s="33" t="s">
        <v>290</v>
      </c>
      <c r="K43" s="3"/>
      <c r="L43" s="3"/>
      <c r="M43" s="3"/>
      <c r="N43" s="3"/>
    </row>
    <row r="44" spans="1:14" ht="48" x14ac:dyDescent="0.2">
      <c r="A44" s="9"/>
      <c r="B44" s="3"/>
      <c r="C44" s="10"/>
      <c r="D44" s="3" t="s">
        <v>291</v>
      </c>
      <c r="F44" s="3"/>
      <c r="G44" s="3"/>
      <c r="H44" s="3"/>
      <c r="I44" s="33"/>
      <c r="J44" s="33"/>
      <c r="K44" s="3"/>
      <c r="L44" s="3"/>
      <c r="M44" s="3"/>
      <c r="N44" s="3"/>
    </row>
    <row r="45" spans="1:14" ht="37.5" customHeight="1" x14ac:dyDescent="0.2">
      <c r="A45" s="19" t="s">
        <v>292</v>
      </c>
      <c r="B45" s="10" t="s">
        <v>293</v>
      </c>
      <c r="C45" s="10"/>
      <c r="D45" s="3" t="s">
        <v>294</v>
      </c>
      <c r="E45" s="3" t="s">
        <v>295</v>
      </c>
      <c r="F45" s="3" t="s">
        <v>160</v>
      </c>
      <c r="G45" s="3" t="s">
        <v>296</v>
      </c>
      <c r="H45" s="3" t="s">
        <v>90</v>
      </c>
      <c r="I45" s="3" t="s">
        <v>297</v>
      </c>
      <c r="J45" s="3" t="s">
        <v>298</v>
      </c>
      <c r="K45" s="3"/>
      <c r="L45" s="3"/>
      <c r="M45" s="3"/>
      <c r="N45" s="3"/>
    </row>
    <row r="46" spans="1:14" ht="54.75" customHeight="1" x14ac:dyDescent="0.2">
      <c r="A46" s="9" t="s">
        <v>299</v>
      </c>
      <c r="B46" s="3"/>
      <c r="C46" s="10"/>
      <c r="D46" s="3" t="s">
        <v>300</v>
      </c>
      <c r="F46" s="3"/>
      <c r="G46" s="3"/>
      <c r="H46" s="3"/>
      <c r="I46" s="3"/>
      <c r="J46" s="3"/>
      <c r="K46" s="3"/>
      <c r="L46" s="3"/>
      <c r="M46" s="3"/>
      <c r="N46" s="3"/>
    </row>
    <row r="47" spans="1:14" ht="59.25" customHeight="1" x14ac:dyDescent="0.2">
      <c r="A47" s="9" t="s">
        <v>301</v>
      </c>
      <c r="B47" s="3"/>
      <c r="C47" s="3" t="s">
        <v>302</v>
      </c>
      <c r="D47" s="3" t="s">
        <v>303</v>
      </c>
      <c r="E47" s="3" t="s">
        <v>304</v>
      </c>
      <c r="F47" s="3">
        <v>1</v>
      </c>
      <c r="G47" s="3"/>
      <c r="H47" s="3" t="s">
        <v>283</v>
      </c>
      <c r="I47" s="3"/>
      <c r="J47" s="3"/>
      <c r="K47" s="3"/>
      <c r="L47" s="3"/>
      <c r="M47" s="3"/>
      <c r="N47" s="3"/>
    </row>
    <row r="48" spans="1:14" ht="16" x14ac:dyDescent="0.2">
      <c r="A48" s="19" t="s">
        <v>305</v>
      </c>
      <c r="B48" s="10" t="s">
        <v>306</v>
      </c>
      <c r="C48" s="10"/>
      <c r="D48" s="3" t="s">
        <v>307</v>
      </c>
      <c r="E48" s="3" t="s">
        <v>308</v>
      </c>
      <c r="F48" s="3" t="s">
        <v>109</v>
      </c>
      <c r="G48" s="3"/>
      <c r="H48" s="3" t="s">
        <v>90</v>
      </c>
      <c r="I48" s="3" t="s">
        <v>309</v>
      </c>
      <c r="J48" s="3" t="s">
        <v>310</v>
      </c>
      <c r="K48" s="3"/>
      <c r="L48" s="3"/>
      <c r="M48" s="3"/>
      <c r="N48" s="3"/>
    </row>
    <row r="49" spans="1:14" ht="16" x14ac:dyDescent="0.2">
      <c r="A49" s="19" t="s">
        <v>311</v>
      </c>
      <c r="B49" s="3"/>
      <c r="C49" s="3" t="s">
        <v>312</v>
      </c>
      <c r="D49" s="3" t="s">
        <v>313</v>
      </c>
      <c r="F49" s="3" t="s">
        <v>160</v>
      </c>
      <c r="G49" s="3"/>
      <c r="H49" s="3" t="s">
        <v>247</v>
      </c>
      <c r="I49" s="3"/>
      <c r="J49" s="3"/>
      <c r="K49" s="3"/>
      <c r="L49" s="3"/>
      <c r="M49" s="3"/>
      <c r="N49" s="3"/>
    </row>
    <row r="50" spans="1:14" ht="32" x14ac:dyDescent="0.2">
      <c r="A50" s="19" t="s">
        <v>314</v>
      </c>
      <c r="B50" s="3"/>
      <c r="C50" s="3" t="s">
        <v>315</v>
      </c>
      <c r="D50" s="3" t="s">
        <v>316</v>
      </c>
      <c r="F50" s="3" t="s">
        <v>160</v>
      </c>
      <c r="G50" s="3"/>
      <c r="H50" s="3" t="s">
        <v>247</v>
      </c>
      <c r="I50" s="3"/>
      <c r="J50" s="3"/>
      <c r="K50" s="3"/>
      <c r="L50" s="3"/>
      <c r="M50" s="3"/>
      <c r="N50" s="3"/>
    </row>
    <row r="51" spans="1:14" ht="32" x14ac:dyDescent="0.2">
      <c r="A51" s="19" t="s">
        <v>317</v>
      </c>
      <c r="B51" s="10" t="s">
        <v>318</v>
      </c>
      <c r="C51" s="10"/>
      <c r="D51" s="3" t="s">
        <v>319</v>
      </c>
      <c r="E51" s="3" t="s">
        <v>320</v>
      </c>
      <c r="F51" s="3" t="s">
        <v>109</v>
      </c>
      <c r="G51" s="3"/>
      <c r="H51" s="3" t="s">
        <v>90</v>
      </c>
      <c r="I51" s="3" t="s">
        <v>321</v>
      </c>
      <c r="J51" s="24" t="s">
        <v>322</v>
      </c>
      <c r="K51" s="4"/>
      <c r="L51" s="3"/>
      <c r="M51" s="3"/>
      <c r="N51" s="4" t="s">
        <v>323</v>
      </c>
    </row>
    <row r="52" spans="1:14" ht="32" x14ac:dyDescent="0.2">
      <c r="A52" s="9"/>
      <c r="B52" s="3"/>
      <c r="C52" s="10"/>
      <c r="D52" s="3" t="s">
        <v>324</v>
      </c>
      <c r="F52" s="3"/>
      <c r="G52" s="3"/>
      <c r="H52" s="3"/>
      <c r="I52" s="3"/>
      <c r="J52" s="24"/>
      <c r="K52" s="4"/>
      <c r="L52" s="3"/>
      <c r="M52" s="3"/>
      <c r="N52" s="4"/>
    </row>
    <row r="53" spans="1:14" ht="32" x14ac:dyDescent="0.2">
      <c r="A53" s="9" t="s">
        <v>325</v>
      </c>
      <c r="B53" s="10" t="s">
        <v>326</v>
      </c>
      <c r="C53" s="10"/>
      <c r="F53" s="3"/>
      <c r="G53" s="3"/>
      <c r="H53" s="3"/>
      <c r="I53" s="3"/>
      <c r="J53" s="23"/>
      <c r="K53" s="3"/>
      <c r="L53" s="3"/>
      <c r="M53" s="3"/>
      <c r="N53" s="3"/>
    </row>
    <row r="54" spans="1:14" ht="53.25" customHeight="1" x14ac:dyDescent="0.2">
      <c r="A54" s="19" t="s">
        <v>327</v>
      </c>
      <c r="B54" s="10"/>
      <c r="C54" s="3" t="s">
        <v>328</v>
      </c>
      <c r="D54" s="3" t="s">
        <v>329</v>
      </c>
      <c r="E54" s="3" t="s">
        <v>330</v>
      </c>
      <c r="F54" s="3" t="s">
        <v>160</v>
      </c>
      <c r="G54" s="3"/>
      <c r="H54" s="3" t="s">
        <v>90</v>
      </c>
      <c r="I54" s="3" t="s">
        <v>331</v>
      </c>
      <c r="J54" s="20" t="s">
        <v>332</v>
      </c>
      <c r="K54" s="25" t="s">
        <v>333</v>
      </c>
      <c r="L54" s="25"/>
      <c r="M54" s="25"/>
      <c r="N54" s="3"/>
    </row>
    <row r="55" spans="1:14" ht="16" x14ac:dyDescent="0.2">
      <c r="A55" s="9" t="s">
        <v>334</v>
      </c>
      <c r="B55" s="3"/>
      <c r="C55" s="3" t="s">
        <v>335</v>
      </c>
      <c r="D55" s="3" t="s">
        <v>336</v>
      </c>
      <c r="E55" s="3" t="s">
        <v>337</v>
      </c>
      <c r="F55" s="3" t="s">
        <v>160</v>
      </c>
      <c r="G55" s="3"/>
      <c r="H55" s="3" t="s">
        <v>247</v>
      </c>
      <c r="I55" s="3"/>
      <c r="J55" s="3"/>
      <c r="K55" s="25"/>
      <c r="L55" s="17"/>
      <c r="M55" s="17"/>
      <c r="N55" s="3"/>
    </row>
    <row r="56" spans="1:14" ht="32" x14ac:dyDescent="0.2">
      <c r="A56" s="19" t="s">
        <v>338</v>
      </c>
      <c r="B56" s="10" t="s">
        <v>339</v>
      </c>
      <c r="C56" s="10"/>
      <c r="D56" s="3" t="s">
        <v>340</v>
      </c>
      <c r="E56" s="3" t="s">
        <v>341</v>
      </c>
      <c r="F56" s="3" t="s">
        <v>109</v>
      </c>
      <c r="G56" s="3"/>
      <c r="H56" s="3" t="s">
        <v>90</v>
      </c>
      <c r="I56" s="33" t="s">
        <v>342</v>
      </c>
      <c r="J56" s="20" t="s">
        <v>343</v>
      </c>
      <c r="K56" s="3"/>
      <c r="L56" s="3"/>
      <c r="M56" s="3"/>
      <c r="N56" s="3"/>
    </row>
    <row r="57" spans="1:14" ht="32" x14ac:dyDescent="0.2">
      <c r="A57" s="19" t="s">
        <v>344</v>
      </c>
      <c r="B57" s="10" t="s">
        <v>345</v>
      </c>
      <c r="C57" s="10"/>
      <c r="D57" s="3" t="s">
        <v>346</v>
      </c>
      <c r="E57" s="3" t="s">
        <v>347</v>
      </c>
      <c r="F57" s="3" t="s">
        <v>348</v>
      </c>
      <c r="G57" s="3"/>
      <c r="H57" s="3" t="s">
        <v>90</v>
      </c>
      <c r="I57" s="3" t="s">
        <v>349</v>
      </c>
      <c r="J57" s="3" t="s">
        <v>350</v>
      </c>
      <c r="K57" s="3"/>
      <c r="L57" s="3"/>
      <c r="M57" s="3"/>
      <c r="N57" s="3"/>
    </row>
    <row r="58" spans="1:14" ht="27" customHeight="1" x14ac:dyDescent="0.2">
      <c r="A58" s="19" t="s">
        <v>351</v>
      </c>
      <c r="B58" s="27" t="s">
        <v>33</v>
      </c>
      <c r="C58" s="27"/>
      <c r="D58" s="3" t="s">
        <v>352</v>
      </c>
      <c r="E58" s="3" t="s">
        <v>288</v>
      </c>
      <c r="F58" s="3" t="s">
        <v>160</v>
      </c>
      <c r="G58" s="3"/>
      <c r="H58" s="3" t="s">
        <v>247</v>
      </c>
      <c r="I58" s="3" t="s">
        <v>353</v>
      </c>
      <c r="J58" s="3" t="s">
        <v>354</v>
      </c>
      <c r="K58" s="3"/>
      <c r="L58" s="3"/>
      <c r="M58" s="3"/>
      <c r="N58" s="3"/>
    </row>
    <row r="59" spans="1:14" ht="30.75" customHeight="1" x14ac:dyDescent="0.2">
      <c r="A59" s="9" t="s">
        <v>355</v>
      </c>
      <c r="B59" t="s">
        <v>356</v>
      </c>
      <c r="D59" s="21" t="s">
        <v>357</v>
      </c>
      <c r="E59" s="3" t="s">
        <v>358</v>
      </c>
      <c r="H59" t="s">
        <v>359</v>
      </c>
      <c r="I59" t="s">
        <v>360</v>
      </c>
      <c r="J59" t="s">
        <v>361</v>
      </c>
    </row>
    <row r="63" spans="1:14" x14ac:dyDescent="0.2">
      <c r="B63" s="28"/>
      <c r="C63" s="28"/>
    </row>
    <row r="64" spans="1:14" ht="16" thickBot="1" x14ac:dyDescent="0.25">
      <c r="B64" s="29"/>
      <c r="C64" s="30"/>
    </row>
    <row r="65" spans="2:3" ht="16" thickTop="1" x14ac:dyDescent="0.2">
      <c r="B65" s="28"/>
      <c r="C65" s="28"/>
    </row>
  </sheetData>
  <phoneticPr fontId="4" type="noConversion"/>
  <hyperlinks>
    <hyperlink ref="N51" r:id="rId1" xr:uid="{F83F3B55-B4C2-4802-934F-C9E3C14B805B}"/>
    <hyperlink ref="N23" r:id="rId2" xr:uid="{B73C5555-EF90-4C17-AFEA-F4306780E8B3}"/>
    <hyperlink ref="N20" r:id="rId3" xr:uid="{FEF2826C-4538-4BD0-84C3-18169970B566}"/>
  </hyperlinks>
  <pageMargins left="0.7" right="0.7" top="0.75" bottom="0.75" header="0.3" footer="0.3"/>
  <pageSetup paperSize="9" orientation="portrait" r:id="rId4"/>
  <drawing r:id="rId5"/>
  <legacy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AA3-99F7-4E93-9580-DCAE2B14D938}">
  <dimension ref="A1:G2"/>
  <sheetViews>
    <sheetView workbookViewId="0">
      <selection activeCell="G7" sqref="G7"/>
    </sheetView>
  </sheetViews>
  <sheetFormatPr baseColWidth="10" defaultColWidth="8.83203125" defaultRowHeight="15" x14ac:dyDescent="0.2"/>
  <cols>
    <col min="1" max="1" width="19.1640625" customWidth="1"/>
    <col min="2" max="2" width="18.5" customWidth="1"/>
    <col min="4" max="4" width="15.1640625" customWidth="1"/>
    <col min="5" max="5" width="16.6640625" customWidth="1"/>
    <col min="6" max="6" width="16.5" customWidth="1"/>
    <col min="7" max="7" width="41.5" customWidth="1"/>
  </cols>
  <sheetData>
    <row r="1" spans="1:7" ht="195.75" customHeight="1" x14ac:dyDescent="0.2">
      <c r="A1" s="2" t="s">
        <v>362</v>
      </c>
      <c r="B1" s="2" t="s">
        <v>363</v>
      </c>
      <c r="C1" s="2" t="s">
        <v>63</v>
      </c>
      <c r="D1" s="2" t="s">
        <v>65</v>
      </c>
      <c r="E1" s="2" t="s">
        <v>66</v>
      </c>
      <c r="F1" s="2" t="s">
        <v>67</v>
      </c>
      <c r="G1" s="2" t="s">
        <v>69</v>
      </c>
    </row>
    <row r="2" spans="1:7" x14ac:dyDescent="0.2">
      <c r="A2" s="1" t="s">
        <v>364</v>
      </c>
      <c r="B2" s="1" t="s">
        <v>365</v>
      </c>
      <c r="C2" s="1" t="s">
        <v>366</v>
      </c>
      <c r="D2" s="1" t="s">
        <v>76</v>
      </c>
      <c r="E2" s="1" t="s">
        <v>77</v>
      </c>
      <c r="F2" s="1" t="s">
        <v>78</v>
      </c>
      <c r="G2" s="1" t="s">
        <v>79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9EBC-5098-4697-9724-F190D24E1C3D}">
  <dimension ref="A1:A2"/>
  <sheetViews>
    <sheetView workbookViewId="0">
      <selection activeCell="E27" sqref="E27"/>
    </sheetView>
  </sheetViews>
  <sheetFormatPr baseColWidth="10" defaultColWidth="8.83203125" defaultRowHeight="15" x14ac:dyDescent="0.2"/>
  <sheetData>
    <row r="1" spans="1:1" ht="111" customHeight="1" x14ac:dyDescent="0.2"/>
    <row r="2" spans="1:1" x14ac:dyDescent="0.2">
      <c r="A2" t="s">
        <v>367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2C35-A590-498D-8635-16DE3DC0B82A}">
  <dimension ref="A1:B10"/>
  <sheetViews>
    <sheetView workbookViewId="0">
      <selection activeCell="B2" sqref="B2"/>
    </sheetView>
  </sheetViews>
  <sheetFormatPr baseColWidth="10" defaultColWidth="8.83203125" defaultRowHeight="15" x14ac:dyDescent="0.2"/>
  <cols>
    <col min="1" max="1" width="36.5" customWidth="1"/>
    <col min="2" max="2" width="52" customWidth="1"/>
  </cols>
  <sheetData>
    <row r="1" spans="1:2" x14ac:dyDescent="0.2">
      <c r="A1" t="s">
        <v>100</v>
      </c>
      <c r="B1" t="s">
        <v>33</v>
      </c>
    </row>
    <row r="2" spans="1:2" ht="32" x14ac:dyDescent="0.2">
      <c r="A2" t="s">
        <v>368</v>
      </c>
      <c r="B2" s="3" t="s">
        <v>369</v>
      </c>
    </row>
    <row r="10" spans="1:2" x14ac:dyDescent="0.2">
      <c r="A10" t="s">
        <v>370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E4E8-143C-4C64-99FB-1306F2338EFB}">
  <dimension ref="A2:J9"/>
  <sheetViews>
    <sheetView topLeftCell="C1" workbookViewId="0">
      <selection activeCell="E9" sqref="E9"/>
    </sheetView>
  </sheetViews>
  <sheetFormatPr baseColWidth="10" defaultColWidth="8.83203125" defaultRowHeight="15" x14ac:dyDescent="0.2"/>
  <cols>
    <col min="2" max="2" width="27.6640625" style="3" customWidth="1"/>
    <col min="3" max="3" width="27.5" style="3" customWidth="1"/>
    <col min="4" max="4" width="60.1640625" style="3" customWidth="1"/>
    <col min="5" max="5" width="47.6640625" style="3" customWidth="1"/>
  </cols>
  <sheetData>
    <row r="2" spans="1:10" ht="16" x14ac:dyDescent="0.2">
      <c r="B2" s="15" t="s">
        <v>371</v>
      </c>
      <c r="C2" s="12"/>
      <c r="D2" s="12"/>
      <c r="E2" s="12"/>
    </row>
    <row r="3" spans="1:10" ht="16" x14ac:dyDescent="0.2">
      <c r="B3" s="16" t="s">
        <v>372</v>
      </c>
      <c r="C3" s="16" t="s">
        <v>55</v>
      </c>
      <c r="D3" s="16" t="s">
        <v>373</v>
      </c>
      <c r="E3" s="13" t="s">
        <v>374</v>
      </c>
    </row>
    <row r="4" spans="1:10" ht="156" customHeight="1" x14ac:dyDescent="0.2">
      <c r="B4" s="14" t="s">
        <v>375</v>
      </c>
      <c r="C4" s="14" t="s">
        <v>376</v>
      </c>
      <c r="D4" s="14" t="s">
        <v>377</v>
      </c>
      <c r="E4" s="14"/>
    </row>
    <row r="5" spans="1:10" ht="182.25" customHeight="1" x14ac:dyDescent="0.2">
      <c r="B5" s="14" t="s">
        <v>378</v>
      </c>
      <c r="C5" s="14" t="s">
        <v>279</v>
      </c>
      <c r="D5" s="17" t="s">
        <v>379</v>
      </c>
      <c r="E5" s="14"/>
    </row>
    <row r="6" spans="1:10" ht="45.75" customHeight="1" x14ac:dyDescent="0.2">
      <c r="A6" s="19"/>
      <c r="B6" s="3" t="s">
        <v>339</v>
      </c>
      <c r="C6" s="3" t="s">
        <v>380</v>
      </c>
      <c r="D6" s="20" t="s">
        <v>381</v>
      </c>
      <c r="F6" s="3"/>
      <c r="G6" s="3"/>
      <c r="H6" s="3"/>
      <c r="I6" s="3"/>
      <c r="J6" s="3"/>
    </row>
    <row r="7" spans="1:10" ht="32" x14ac:dyDescent="0.2">
      <c r="B7" s="14" t="s">
        <v>382</v>
      </c>
      <c r="C7" s="14" t="s">
        <v>380</v>
      </c>
      <c r="D7" s="14" t="s">
        <v>383</v>
      </c>
      <c r="E7" s="14"/>
    </row>
    <row r="8" spans="1:10" ht="32" x14ac:dyDescent="0.2">
      <c r="B8" s="14" t="s">
        <v>384</v>
      </c>
      <c r="C8" s="14"/>
      <c r="D8" s="35" t="s">
        <v>385</v>
      </c>
      <c r="E8" s="14" t="s">
        <v>386</v>
      </c>
    </row>
    <row r="9" spans="1:10" ht="80" x14ac:dyDescent="0.2">
      <c r="B9" s="14"/>
      <c r="C9" s="14" t="s">
        <v>387</v>
      </c>
      <c r="D9" s="14" t="s">
        <v>388</v>
      </c>
      <c r="E9" s="2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A9028-3436-4B29-A420-9ED5B8A085B1}">
  <ds:schemaRefs>
    <ds:schemaRef ds:uri="http://schemas.microsoft.com/office/2006/documentManagement/types"/>
    <ds:schemaRef ds:uri="http://www.w3.org/XML/1998/namespace"/>
    <ds:schemaRef ds:uri="http://purl.org/dc/terms/"/>
    <ds:schemaRef ds:uri="http://schemas.microsoft.com/office/infopath/2007/PartnerControls"/>
    <ds:schemaRef ds:uri="bb18a1b9-ddba-4244-9634-64732d0cb267"/>
    <ds:schemaRef ds:uri="http://schemas.openxmlformats.org/package/2006/metadata/core-properties"/>
    <ds:schemaRef ds:uri="http://purl.org/dc/elements/1.1/"/>
    <ds:schemaRef ds:uri="06294a2e-6f87-4144-83b8-94a4d04d144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48267B0-4CF5-48A7-B543-CDE45AF0A8FC}">
  <ds:schemaRefs>
    <ds:schemaRef ds:uri="http://schemas.microsoft.com/sharepoint/v3/contenttype/forms"/>
  </ds:schemaRefs>
</ds:datastoreItem>
</file>

<file path=customXml/itemProps3.xml><?xml version="1.0" encoding="utf-8"?>
<ds:datastoreItem xmlns:ds="http://schemas.openxmlformats.org/officeDocument/2006/customXml" ds:itemID="{14B9AD58-A794-48C7-986D-80A9DB4B32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Uitleg</vt:lpstr>
      <vt:lpstr>Concept</vt:lpstr>
      <vt:lpstr>Bronnen</vt:lpstr>
      <vt:lpstr>Informatiebehoefte</vt:lpstr>
      <vt:lpstr>Ongedekte informatiebehoefte</vt:lpstr>
      <vt:lpstr>Overwegingen voor de toekomst</vt:lpstr>
      <vt:lpstr>Basismodel</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Onno Gieling</cp:lastModifiedBy>
  <cp:revision/>
  <dcterms:created xsi:type="dcterms:W3CDTF">2026-03-12T13:25:44Z</dcterms:created>
  <dcterms:modified xsi:type="dcterms:W3CDTF">2026-10-22T14:55:03Z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