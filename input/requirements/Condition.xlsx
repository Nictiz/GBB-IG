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nictiznl.sharepoint.com/sites/Zib-transitiecommunity/Gedeelde documenten/Architectuur/Werkgroepen ZIBS 2.0 Implementatie/Bouwblokken/Condition/"/>
    </mc:Choice>
  </mc:AlternateContent>
  <xr:revisionPtr revIDLastSave="1617" documentId="8_{14C11024-DAA1-4BC8-A0C0-1702803526E6}" xr6:coauthVersionLast="47" xr6:coauthVersionMax="47" xr10:uidLastSave="{673B512C-5BF3-409C-83DA-27793659718D}"/>
  <bookViews>
    <workbookView xWindow="-4044" yWindow="-17388" windowWidth="30936" windowHeight="16776" firstSheet="2" activeTab="3" xr2:uid="{71855D19-E937-4D4D-85D2-5BCEBB780255}"/>
  </bookViews>
  <sheets>
    <sheet name="Uitleg" sheetId="5" r:id="rId1"/>
    <sheet name="Concept" sheetId="2" r:id="rId2"/>
    <sheet name="Bronnen" sheetId="6" r:id="rId3"/>
    <sheet name="Informatiebehoefte" sheetId="1" r:id="rId4"/>
    <sheet name="Ongedekte informatiebehoefte" sheetId="3" r:id="rId5"/>
    <sheet name="Overwegingen voor de toekomst" sheetId="4" r:id="rId6"/>
    <sheet name="Basismodel" sheetId="7" r:id="rId7"/>
    <sheet name="Ter discussie" sheetId="8" r:id="rId8"/>
  </sheet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1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tc={FC56F738-FB65-495B-9B48-E0F47216F010}</author>
    <author>tc={903FD87C-9891-4AE1-9361-7224FCD06B01}</author>
    <author>tc={B3533A99-0CB6-4646-9417-20A66FEFD573}</author>
    <author>tc={20B2A504-5F6F-4996-9921-E2104F9548D8}</author>
    <author>tc={DC3A08E9-01DD-48D1-B7F5-357810DE5428}</author>
    <author>tc={035A58F6-6A6B-4788-883F-2110C3BA07ED}</author>
    <author>tc={00D6E7CD-1959-4C9A-8BC1-A1E323A0102F}</author>
    <author>Shenaida Hoogland</author>
    <author>tc={065B39A6-9843-49BF-88E8-0C2BF95F8D00}</author>
  </authors>
  <commentList>
    <comment ref="A3" authorId="0" shapeId="0" xr:uid="{FC56F738-FB65-495B-9B48-E0F47216F010}">
      <text>
        <t>[Opmerkingenthread]
U kunt deze opmerkingenthread lezen in uw versie van Excel. Eventuele wijzigingen aan de thread gaan echter verloren als het bestand wordt geopend in een nieuwere versie van Excel. Meer informatie: https://go.microsoft.com/fwlink/?linkid=870924
Opmerking:
    AllergyInt heeft een andere naam conventie voor ‘Nummer’. Controleren welke juist is.</t>
      </text>
    </comment>
    <comment ref="J19" authorId="1" shapeId="0" xr:uid="{903FD87C-9891-4AE1-9361-7224FCD06B01}">
      <text>
        <t>[Opmerkingenthread]
U kunt deze opmerkingenthread lezen in uw versie van Excel. Eventuele wijzigingen aan de thread gaan echter verloren als het bestand wordt geopend in een nieuwere versie van Excel. Meer informatie: https://go.microsoft.com/fwlink/?linkid=870924
Opmerking:
     active
 inactive
 resolved
 in remission
 evolution status - initial, interim/working, final; temporal status - current, past; episodicity status - first, new, ongoing; admission status - admission, discharge; or priority status - primary, secondary.</t>
      </text>
    </comment>
    <comment ref="K19" authorId="2" shapeId="0" xr:uid="{B3533A99-0CB6-4646-9417-20A66FEFD573}">
      <text>
        <t>[Opmerkingenthread]
U kunt deze opmerkingenthread lezen in uw versie van Excel. Eventuele wijzigingen aan de thread gaan echter verloren als het bestand wordt geopend in een nieuwere versie van Excel. Meer informatie: https://go.microsoft.com/fwlink/?linkid=870924
Opmerking:
    1. Actief
2. Inactief
Kortere waardelijst</t>
      </text>
    </comment>
    <comment ref="K23" authorId="3" shapeId="0" xr:uid="{20B2A504-5F6F-4996-9921-E2104F9548D8}">
      <text>
        <t>[Opmerkingenthread]
U kunt deze opmerkingenthread lezen in uw versie van Excel. Eventuele wijzigingen aan de thread gaan echter verloren als het bestand wordt geopend in een nieuwere versie van Excel. Meer informatie: https://go.microsoft.com/fwlink/?linkid=870924
Opmerking:
    Wel in metadata!</t>
      </text>
    </comment>
    <comment ref="E26" authorId="4" shapeId="0" xr:uid="{DC3A08E9-01DD-48D1-B7F5-357810DE5428}">
      <text>
        <t>[Opmerkingenthread]
U kunt deze opmerkingenthread lezen in uw versie van Excel. Eventuele wijzigingen aan de thread gaan echter verloren als het bestand wordt geopend in een nieuwere versie van Excel. Meer informatie: https://go.microsoft.com/fwlink/?linkid=870924
Opmerking:
    Onduidelijk welke waardelijst gehandeerd moet worden</t>
      </text>
    </comment>
    <comment ref="B28" authorId="5" shapeId="0" xr:uid="{035A58F6-6A6B-4788-883F-2110C3BA07ED}">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 ref="C28" authorId="6" shapeId="0" xr:uid="{00D6E7CD-1959-4C9A-8BC1-A1E323A0102F}">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 ref="B32" authorId="7" shapeId="0" xr:uid="{DF16D6DB-6BF2-4105-935F-CAE9E0779508}">
      <text>
        <r>
          <rPr>
            <sz val="11"/>
            <color theme="1"/>
            <rFont val="Aptos Narrow"/>
            <family val="2"/>
            <scheme val="minor"/>
          </rPr>
          <t>Shenaida Hoogland:
ter discussie</t>
        </r>
      </text>
    </comment>
    <comment ref="C32" authorId="7" shapeId="0" xr:uid="{5C2BCC1D-F15F-46C8-B26A-850B59225D39}">
      <text>
        <r>
          <rPr>
            <sz val="11"/>
            <color theme="1"/>
            <rFont val="Aptos Narrow"/>
            <family val="2"/>
            <scheme val="minor"/>
          </rPr>
          <t>Shenaida Hoogland:
ter discussie</t>
        </r>
      </text>
    </comment>
    <comment ref="C36" authorId="8" shapeId="0" xr:uid="{065B39A6-9843-49BF-88E8-0C2BF95F8D00}">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List>
</comments>
</file>

<file path=xl/sharedStrings.xml><?xml version="1.0" encoding="utf-8"?>
<sst xmlns="http://schemas.openxmlformats.org/spreadsheetml/2006/main" count="463" uniqueCount="356">
  <si>
    <t>Veld</t>
  </si>
  <si>
    <t>Beschrijving</t>
  </si>
  <si>
    <t>Invulling (zelf beschreven op basis van openEHR, FHIR R4 en EHDS LIM)</t>
  </si>
  <si>
    <t>Bronnen</t>
  </si>
  <si>
    <t>a.d.h.v. keuze FHIR als basismodel</t>
  </si>
  <si>
    <t>a.d.h.v. keuze OpenEHR als basismodel</t>
  </si>
  <si>
    <t>Conceptbeschrijving</t>
  </si>
  <si>
    <t>[De definitie of beschrijving van het concept.]</t>
  </si>
  <si>
    <t>Een conditie beschrijft een klinisch relevante gezondheidstoestand, diagnose, probleem, aandoening of andere gezondheidsituatie die betrekking heeft op de gezondheid en/of het welzijn van de patiënt. Deze toestand kan benoemd zijn door de patiënt, gerelateerd persoon of door de zorgverlener. De gezondheidstoestand kan aanleiding geven tot behandeling, monitoring of vervolgbeleid.</t>
  </si>
  <si>
    <t>Samengesteld uit EHDS LIM EHDSCondition v1.0.0; FHIR R4 Condition; openEHR problem/Diagnosis v1.5.0; zib Probleem 2020</t>
  </si>
  <si>
    <t>Een klinische aandoening, probleem, diagnose of andere gebeurtenis, situatie, kwestie of klinisch concept dat aanleiding geeft tot zorg.</t>
  </si>
  <si>
    <t xml:space="preserve">Details over een specifieke gezondheidstoestand, letsel, handicap of ander probleem dat van invloed is op het fysieke, mentale en/of sociale welzijn van een individu.
Opmerking: In de praktijk is het niet eenvoudig om een ​​duidelijke scheiding te maken tussen de omvang van een probleem en een diagnose. Voor klinische documentatie met dit archetype worden probleem en diagnose beschouwd als een continuüm, waarbij toenemende mate van detail en ondersteunend bewijs doorgaans meer gewicht toekennen aan het label 'diagnose'.
</t>
  </si>
  <si>
    <t>EDHS LIM: Model for a clinical condition, problem, diagnosis, or other event, situation, or issue that has risen to a level of concern.
OpenEHR: 
ChatGPT samenvatting van FHIR R4 resource: Model voor klinisch relevante gezondheidstoestand van een patiënt die door een zorgverlener zijn beoordeeld of vastgesteld. Dit kan een diagnose, gezondheidsprobleem, zorgvraag of andere gezondheidssituatie zijn die aanleiding geeft tot behandeling, monitoring of vervolgbeleid.
Zib Probleem 2020: Een probleem beschrijft een toestand met betrekking tot de gezondheid en/of het welzijn van een individu. Deze toestand kan zijn benoemd door de betroffene (de patiënt) zelf (een klacht), of door zijn of haar zorgverlener (onder andere een diagnose). De toestand kan aanleiding zijn voor diagnostisch of therapeutisch beleid.
Een probleem omvat allerlei soorten medische of verpleegkundige gegevens, die een gezondheidsprobleem representeren. Een probleem kan verschillende typen gezondheidsproblemen representeren: symptoom, klacht, diagnose, functionele beperking, complicatie. 
OpenEHR: Details over een specifieke gezondheidstoestand, letsel, handicap of ander probleem dat van invloed is op het fysieke, mentale en/of sociale welzijn van een persoon.</t>
  </si>
  <si>
    <t>Doel</t>
  </si>
  <si>
    <t>[De doelen en redenen om het concept vast te leggen en/of uit te wisselen.]</t>
  </si>
  <si>
    <t xml:space="preserve">Een overzicht van gezondheidstoestanden/diagnoses/aandoeningen van de patient. </t>
  </si>
  <si>
    <t>Gedestileerd uit de conceptbeschrijving</t>
  </si>
  <si>
    <t>Het doel van het concept is het eenduidig vastleggen en uitwisselen van een klinisch relevante diagnose, aandoening, gezondheidstoestand of ander zorgpunt van een patiënt. Dit ondersteunt nader onderzoek, behandeling, monitoring en overdracht van zorg, ook wanneer het gaat om een niet-negatieve gezondheidstoestand, zoals zwangerschap, of om een toestand die het gevolg is van een eerdere ingreep.</t>
  </si>
  <si>
    <t>Voor het vastleggen van details over een enkel, geïdentificeerd gezondheidsprobleem of diagnose.
De beoogde reikwijdte van een gezondheidsprobleem wordt in de context van klinische documentatie bewust ruim gehouden, zodat alle reële of vermeende zorgen die het welzijn van een persoon in welke mate dan ook negatief kunnen beïnvloeden, kunnen worden vastgelegd. Een gezondheidsprobleem kan worden geïdentificeerd door de persoon zelf, een mantelzorger of een zorgverlener. Een diagnose wordt echter daarnaast gedefinieerd op basis van objectieve klinische criteria en wordt doorgaans alleen vastgesteld door een zorgverlener.</t>
  </si>
  <si>
    <t>Gebruiksscenario(’s)</t>
  </si>
  <si>
    <t>[Geeft aan in welke context(en) het concept wordt gebruikt. Geef voorbeelden van gebruik in informatiestandaarden.]</t>
  </si>
  <si>
    <t>Een overzicht van gezondheidstoestanden/diagnoses/aandoeningen van de patient. Het wordt gebruikt in de informatiestandaarden BgZ-MSZ, Eerstelijnszorg, .. 
Conditie kan worden gebruikt om het gezondheidsprobleem in een zorgepisode te duiden.</t>
  </si>
  <si>
    <t>Afkomstig uit informatiestandaard BgZ-MSZ, informatiestandaard Acute Zorg</t>
  </si>
  <si>
    <t>Het kan worden gebruikt om informatie vast te leggen over een ziekte of aandoening die is vastgesteld op basis van klinische redenering over pathologische en pathofysiologische bevindingen (diagnose); over gezondheidsproblemen of -situaties die een zorgverlener als schadelijk of potentieel schadelijk beschouwt en die nader onderzoek en behandeling vereisen (probleem); of over andere gezondheidsproblemen of -situaties die mogelijk voortdurende monitoring en/of behandeling behoeven (gezondheidsprobleem/-zorgpunt).
De 'Condition'-resource kan worden gebruikt om een ​​bepaalde gezondheidstoestand van een patiënt vast te leggen die doorgaans niet als een negatieve uitkomst wordt beschouwd, zoals zwangerschap. De 'Condition'-resource kan ook worden gebruikt om een ​​aandoening of toestand vast te leggen die volgt op een ingreep, zoals de status van 'onderbeenamputatiepatiënt' na een amputatieprocedure.
Spoedsamenvatting 2.2.0, bij het opstellen van de episodes en problemen 
BgZ-MSZ: bij klachten en diagnoses
eOverdracht: problemen
Eerstelijnszorg: problemen</t>
  </si>
  <si>
    <t>Dit archetype kan in veel contexten worden gebruikt. Bijvoorbeeld om een ​​probleem of een klinische diagnose vast te leggen tijdens een consult; om een ​​permanente probleemlijst aan te vullen; of om een ​​samenvattende verklaring op te nemen in een ontslagbrief.</t>
  </si>
  <si>
    <t>Representatie</t>
  </si>
  <si>
    <t>[Beschrijf hier wat er voor de dossiervorming belangrijk is rondom de levenscyclus en instantiaties van het concept.]</t>
  </si>
  <si>
    <t>Een gezondheidsstoestand heeft een start en kan een einddatum hebben, maar hoeft niet. Het kan gevlagt zijn om in de probleemlijst van de patient aanwezig te blijven, ook al is de gezondheidsstoestand opgeheven.</t>
  </si>
  <si>
    <t>Gedestileerd uit de data-elementen van de EHDS LIM EHDSCondition v1.0.0</t>
  </si>
  <si>
    <t>Een instantiatie beschrijft één klinisch relevante conditie bij een patiënt. Veranderingen in status of zekerheid worden in dezelfde registratie bijgewerkt; voor een andere conditie of afzonderlijke episode wordt een nieuwe instantiatie gemaakt. Beëindigde of weerlegde condities blijven als historie beschikbaar.</t>
  </si>
  <si>
    <t>kijken hoe openEHR erover denkt met evoluerende diagnose van de patient.</t>
  </si>
  <si>
    <t>Alias(sen)</t>
  </si>
  <si>
    <t>[Alle bekende synoniemen voor het concept.]</t>
  </si>
  <si>
    <t>episode, diagnose, aandoening, probleem, klacht(als het geen onderdeel is van de aandoening), functionele beperking, complicatie, symptoom(als het geen onderdeel is van de aandoening)</t>
  </si>
  <si>
    <t>Juist gebruik</t>
  </si>
  <si>
    <t>[Beschrijf hier waarvoor het concept wél bedoeld is].</t>
  </si>
  <si>
    <t>Voor het vastleggen van diagnoses, probleem, en andere situaties van de patiënt die geen negatieve uitkomst hebben. zoals een zwangerschap.</t>
  </si>
  <si>
    <t>Het concept is bedoeld voor het vastleggen van een klinisch relevante aandoening, diagnose, probleem, gezondheidstoestand, risico of zorgpunt dat beoordeling, behandeling of monitoring vereist.</t>
  </si>
  <si>
    <t>Te gebruiken voor het vastleggen van details over een enkel, geïdentificeerd gezondheidsprobleem of diagnose.
Duidelijke definities die onderscheid maken tussen een 'probleem' en een 'diagnose' zijn in de praktijk vrijwel onmogelijk - we kunnen niet betrouwbaar vaststellen wanneer een probleem als een diagnose moet worden beschouwd. 
Voor klinische documentatie met dit archetype worden probleem en diagnose beschouwd als een continuüm, waarbij toenemende mate van detail en ondersteunend bewijsmateriaal doorgaans meer gewicht in de schaal legt voor de benaming 'diagnose'. In dit archetype is het niet nodig om de aandoening te classificeren als een 'probleem' of 'diagnose'.</t>
  </si>
  <si>
    <t>Onjuist gebruik</t>
  </si>
  <si>
    <t>[Beschrijf hier waar het concept niet voor bedoeld is, en geef waar mogelijk aan welk concept er wel geschikt voor is.]</t>
  </si>
  <si>
    <t>Het wordt niet gebruikt om de functionele status, bijvoorbeeld vermogen tot ADL, vast te leggen. Het wordt niet gebruikt voor symptomen die je observeert of uitvraagt, met andere woorden wanneer een symptoom bijdraagt aan de aandoening, dient het niet opgenomen te worden als condition.</t>
  </si>
  <si>
    <t>Het concept is niet bedoeld voor losse metingen, bevindingen of kortdurende symptomen; gebruik hiervoor Observation. Het is ook niet bedoeld om de uitgevoerde ingreep zelf vast te leggen; gebruik daarvoor Procedure. Voor allergieën en intoleranties die klinische beslisondersteuning moeten activeren, is AllergyIntolerance het aangewezen concept. Een blijvende toestand na een ingreep kan wel als conditie worden vastgelegd.</t>
  </si>
  <si>
    <t>Referenties</t>
  </si>
  <si>
    <t>[Relevante bronstandaarden of informatiebronnen die het ontwerp en de scope van het concept hebben beïnvloed.]</t>
  </si>
  <si>
    <t>EHDS LIM EHDSCondition v1.0.0; FHIR R4 resource Condition; openEHR Problem/Diagnosis 1.5.0</t>
  </si>
  <si>
    <t>Condition - FHIR v4.0.1</t>
  </si>
  <si>
    <t>ART-DECOR-id</t>
  </si>
  <si>
    <t>[Het id op ART-DECOR van het afsprakenmodel, bv 2.16.840.1.113883.2.4.3.11.60.153.4.12/2026-06-04T00:00:00]</t>
  </si>
  <si>
    <t>Keuze Basismodel</t>
  </si>
  <si>
    <t>Concept-sheet is opgemaakt met spelregel: https://nictiz.atlassian.net/browse/DAGIM-72</t>
  </si>
  <si>
    <t>Type bron</t>
  </si>
  <si>
    <t>Naam bron</t>
  </si>
  <si>
    <t>Toelichting</t>
  </si>
  <si>
    <t>Informatiebehoefte verwerkt in sheet 'informatiebeheofte'</t>
  </si>
  <si>
    <t>Link naar bron informatie</t>
  </si>
  <si>
    <t>Internationaal</t>
  </si>
  <si>
    <t>EHDS Logical Model EHDSCondition version 1.0.0</t>
  </si>
  <si>
    <t>Volgens DAGIM-20 moeten alle elementen van de EHDS logical model opgenomen worden als informatiebehoefte.</t>
  </si>
  <si>
    <t>Ja</t>
  </si>
  <si>
    <t>Condition model - EHDS Logical Information Models v1.0.0</t>
  </si>
  <si>
    <t>FHIR R4 resource Condition</t>
  </si>
  <si>
    <t>Volgens DAGIM-19 is het nodig dat alle verplichte elementen van de FHIR resource opgenomen worden als informatiebehoefte.</t>
  </si>
  <si>
    <t xml:space="preserve">openEHR archetype Problem/Diagnosis </t>
  </si>
  <si>
    <t>Volgens DAGIM-21 l is het nodig dat alle verplichte elementen van de openEHR archetype opgenomen worden als informatiebehoefte.</t>
  </si>
  <si>
    <t>Clinical Knowledge Manager</t>
  </si>
  <si>
    <t>Zib</t>
  </si>
  <si>
    <t>Zib Diagnose v2.0 2024</t>
  </si>
  <si>
    <t>Geen baseline. Onduidelijk of deze meegenomen moet worden. Is het nodig om AandoeningOfGesteldheid en Symptoom uit 2024 ook mee te nemen?</t>
  </si>
  <si>
    <t>Diagnose-v2.0(2024NL) - Zorginformatiebouwstenen</t>
  </si>
  <si>
    <t>Zib Probleem v4.4 2020</t>
  </si>
  <si>
    <t>Baseline</t>
  </si>
  <si>
    <t>Probleem-v4.4(2020NL) - Zorginformatiebouwstenen</t>
  </si>
  <si>
    <t>Zib Probleem V4.1 2017</t>
  </si>
  <si>
    <t>Probleem-v4.1(2017NL) - Zorginformatiebouwstenen</t>
  </si>
  <si>
    <t>Informatiestandaard</t>
  </si>
  <si>
    <t>Informatiestandaard BgZ-MSZ 2.0.2</t>
  </si>
  <si>
    <t>Volgens de DoD Q3 moet dit opgenomen worden in deze iteratie van de GBB. De informatiebehoefte is identiek aan zib 2017 op één element na. Bij dit element staat de informatiestandaard als herkomst beschreven.</t>
  </si>
  <si>
    <t>Dataset (voor transactie) 2.16.840.1.113883.2.4.3.11.60.42.4.42 - Sturen</t>
  </si>
  <si>
    <t>Informatiestandaard Acute Zorg 2.2.0 (Spoedsamenvatting usecase)</t>
  </si>
  <si>
    <t>Volgens de DoD Q3 moet dit opgenomen worden in deze iteratie van de GBB</t>
  </si>
  <si>
    <t>Nummer</t>
  </si>
  <si>
    <t>Naam</t>
  </si>
  <si>
    <t>data-element</t>
  </si>
  <si>
    <t>Omschrijving</t>
  </si>
  <si>
    <t>Variabiliteit</t>
  </si>
  <si>
    <t>Aanwezigheid</t>
  </si>
  <si>
    <t>Verleden/heden/toekomst</t>
  </si>
  <si>
    <t>Herkomst</t>
  </si>
  <si>
    <t>Komt het in FHIR R4 voor?</t>
  </si>
  <si>
    <t>Komt het in openEHR voor?</t>
  </si>
  <si>
    <t>Komt voor in ZIBProbleem-v4.4? (2020)</t>
  </si>
  <si>
    <t>Komt voor in ZIBProbleem? (2017)</t>
  </si>
  <si>
    <t>Komt voor in ZIBProbleem? (2024)</t>
  </si>
  <si>
    <t>Opmerking</t>
  </si>
  <si>
    <t>[Nummer van de informatie-requirement start bij 1, sub behoeftes kunnen worden gemodelleerd met X.X of X.X.X]</t>
  </si>
  <si>
    <t>[Naam waaraan de informatie-requirement te herkennen is]</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</si>
  <si>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</si>
  <si>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</si>
  <si>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</si>
  <si>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of de informatie relevant is voor gebruik van het model voor zaken in het verleden, in het heden, en/of de toekomst. Vaak is slechts een van deze situaties in scope van het bouwblok, maar niet altijd]</t>
  </si>
  <si>
    <t>[Geef aan waar de behoefte vandaan komt, bv. een specifieke informatiestandaard of bepaalde zorgrichtlijn]</t>
  </si>
  <si>
    <t>CON-1</t>
  </si>
  <si>
    <t>Patient</t>
  </si>
  <si>
    <t>Ja (subject)</t>
  </si>
  <si>
    <t>Ja (Reference model: subject of care) 1:1</t>
  </si>
  <si>
    <t>Nee</t>
  </si>
  <si>
    <t>CON-1.1</t>
  </si>
  <si>
    <t>Subject</t>
  </si>
  <si>
    <t>De patiënt waarover de conditie gaat</t>
  </si>
  <si>
    <t>Verwijzing naar Patient</t>
  </si>
  <si>
    <t>1..1</t>
  </si>
  <si>
    <t>EHDS LIM EHDSCondition 1.0.0</t>
  </si>
  <si>
    <t>CON-1.2</t>
  </si>
  <si>
    <t>Subject of care</t>
  </si>
  <si>
    <t xml:space="preserve">De persoon waarnaar in deze evaluatie wordt verwezen, is doorgaans de persoon op wie het medisch dossier betrekking heeft, oftewel de patiënt. </t>
  </si>
  <si>
    <t>Vewijzing naar Subject of Care</t>
  </si>
  <si>
    <t>openEHR Problem/Diagnosis 1.7.4</t>
  </si>
  <si>
    <t>CON-1.3</t>
  </si>
  <si>
    <t>Wie heeft de conditie?</t>
  </si>
  <si>
    <t>Verwijziging naar Patient of Group</t>
  </si>
  <si>
    <t>CON-2</t>
  </si>
  <si>
    <t>Identificatie van object Conditie</t>
  </si>
  <si>
    <t>Ja (identifier)</t>
  </si>
  <si>
    <t>Ja (architype.id) maar komt niet voor in de archetypen, maar komt naar voren bij het opslaan (originating_system_item_ids : DV_IDENTIFIER). is 0..*</t>
  </si>
  <si>
    <t>CON-2.1</t>
  </si>
  <si>
    <t>header.identifier</t>
  </si>
  <si>
    <t>Business identifier van het object</t>
  </si>
  <si>
    <t>0..*</t>
  </si>
  <si>
    <t>CON-2.2</t>
  </si>
  <si>
    <t>Identificatie</t>
  </si>
  <si>
    <t>Unieke identificatie van één specifieke episode. De unieke identificatie wordt gebruikt om één specifieke episode te herkennen binnen een lijst met alle episodes van een patiënt.</t>
  </si>
  <si>
    <t>1..*</t>
  </si>
  <si>
    <t>Spoedsamenvatting 2.2.0</t>
  </si>
  <si>
    <t>CON-3</t>
  </si>
  <si>
    <t>Author</t>
  </si>
  <si>
    <t>Degene die de informatie over de conditie heeft geschreven</t>
  </si>
  <si>
    <t>0..* Choice of types</t>
  </si>
  <si>
    <t>Ja (recorder, 0..1)</t>
  </si>
  <si>
    <t>Ja (RM:other_participations)</t>
  </si>
  <si>
    <t>CON-3.1</t>
  </si>
  <si>
    <t>zorgverlener als auteur</t>
  </si>
  <si>
    <t>authorEHDSHealthProfessional</t>
  </si>
  <si>
    <t>De zorgverlener die de informatie over de conditie heeft geschreven</t>
  </si>
  <si>
    <t>Verwijziging naar EHDSHealthProfessional</t>
  </si>
  <si>
    <t>Ja (recorder = Practitioner of PractitionerRole)</t>
  </si>
  <si>
    <t>ja</t>
  </si>
  <si>
    <t>CON-3.2</t>
  </si>
  <si>
    <t>organisatie als auteur</t>
  </si>
  <si>
    <t>authorEHDSOrganisation</t>
  </si>
  <si>
    <t>De organisatie waaruit de informatie over de conditie afkomstig is</t>
  </si>
  <si>
    <t>Verwijziging naar EHDSOrganization</t>
  </si>
  <si>
    <t>Ja (recorder.PracticionerRole.Organisation)</t>
  </si>
  <si>
    <t>CON-3.3</t>
  </si>
  <si>
    <t>apparaat als auteur</t>
  </si>
  <si>
    <t>authorEHDSDevice</t>
  </si>
  <si>
    <t>Het invoerapparaat van de informatie over de conditie</t>
  </si>
  <si>
    <t>Verwijziging naar EHDSDevice</t>
  </si>
  <si>
    <t>CON-4</t>
  </si>
  <si>
    <t>Datum en evt. tijd van rergistreren</t>
  </si>
  <si>
    <t>CON-4.1</t>
  </si>
  <si>
    <t>header.date</t>
  </si>
  <si>
    <t>De datum en evt. tijd waarop het object is geschreven</t>
  </si>
  <si>
    <t>DatumTijd</t>
  </si>
  <si>
    <t>0..1</t>
  </si>
  <si>
    <t>Ja (recordedDate)</t>
  </si>
  <si>
    <t xml:space="preserve">ja. Opmerking Wouter bij AllergieIntolerantie: metadata komt in elk archetype voor. </t>
  </si>
  <si>
    <t>CON-4.2</t>
  </si>
  <si>
    <t>registratiedatum</t>
  </si>
  <si>
    <t xml:space="preserve">Startdatum </t>
  </si>
  <si>
    <r>
      <rPr>
        <sz val="11"/>
        <color rgb="FF000000"/>
        <rFont val="Aptos Narrow"/>
        <scheme val="minor"/>
      </rPr>
      <t xml:space="preserve">Dit komt overeen met de tijd dat de concern in het patiëntendossier terecht is gekomen. </t>
    </r>
    <r>
      <rPr>
        <sz val="11"/>
        <color rgb="FFFF0000"/>
        <rFont val="Aptos Narrow"/>
        <scheme val="minor"/>
      </rPr>
      <t>-&gt; waarom is deze datum nodig als een verplichting? Wat wil je met de informatie. moet het een timestamp tot microseconde is geregistreerd. Als we het niet kunnen vinden dan schrijven we dat ook in de variabiliteit dat mogelijk een vagere datumTijd ook mag</t>
    </r>
  </si>
  <si>
    <t>Time Stamp</t>
  </si>
  <si>
    <t>CON-5</t>
  </si>
  <si>
    <t>Status</t>
  </si>
  <si>
    <t xml:space="preserve">Status van het object </t>
  </si>
  <si>
    <t>status</t>
  </si>
  <si>
    <t>De status van de conditie</t>
  </si>
  <si>
    <t>Waardelijst (preferred): HL7 Condition Clinical Status Codes (active, recurrence, relapse, inactive, remission, resolved, unknown)</t>
  </si>
  <si>
    <t>Ja (clinicalStatus)</t>
  </si>
  <si>
    <t>Ja  0..1 (status)</t>
  </si>
  <si>
    <t>Ja, ProbleemStatus</t>
  </si>
  <si>
    <t>CON-5.1</t>
  </si>
  <si>
    <t>De status is actief of open, danwel gesloten
Zib 2017: De probleemstatus beschrijft de toestand van het probleem:
Actuele problemen zijn problemen waar de patiënt symptomen van ondervindt of waar bewijsmateriaal voor is.
Problemen met status 'Niet actueel' verwijzen naar problemen waar de patiënt geen last meer van heeft of waar geen aanwijzingen meer voor zijn.</t>
  </si>
  <si>
    <t>Waardelijst (actief, inactief)</t>
  </si>
  <si>
    <t>Spoedsamenvatting 2.2.0; Zib 2017; zib 2020</t>
  </si>
  <si>
    <t>CON-5.2</t>
  </si>
  <si>
    <t>CON-6</t>
  </si>
  <si>
    <t>source</t>
  </si>
  <si>
    <t>De bron van de informatie over de conditie, bijvoorbeeld de patiënt zelf</t>
  </si>
  <si>
    <t xml:space="preserve">Gecodeerde concept </t>
  </si>
  <si>
    <t>Ja (asserter)</t>
  </si>
  <si>
    <t>Ja (Reference model: Information Provider) 0..1 Dit kan de patiënt zijn; een vertegenwoordiger van de patiënt, bijvoorbeeld een ouder of voogd; de behandelaar of een apparaat/software.</t>
  </si>
  <si>
    <t>CON-7</t>
  </si>
  <si>
    <t>language</t>
  </si>
  <si>
    <t>De taal waarin het object is geschreven</t>
  </si>
  <si>
    <t>Waardelijst BCP 47</t>
  </si>
  <si>
    <t>Ja (language)</t>
  </si>
  <si>
    <r>
      <t xml:space="preserve">Ja
</t>
    </r>
    <r>
      <rPr>
        <b/>
        <sz val="11"/>
        <color theme="1"/>
        <rFont val="Aptos Narrow"/>
        <family val="2"/>
        <scheme val="minor"/>
      </rPr>
      <t xml:space="preserve">Opmerking Wouter bij AllergieIntolerantie: metadata komt in elk archetype voor. </t>
    </r>
  </si>
  <si>
    <t>CON-8</t>
  </si>
  <si>
    <t>Naam van de conditie</t>
  </si>
  <si>
    <t>Ja (code, 0..1)</t>
  </si>
  <si>
    <t>Ja (Problem / Diagnosis name)</t>
  </si>
  <si>
    <t>Ja, ProbleemNaam</t>
  </si>
  <si>
    <t>CON-8.1</t>
  </si>
  <si>
    <t>problem</t>
  </si>
  <si>
    <t>Code die de aandoening, het probleem of de diagnose identificeert</t>
  </si>
  <si>
    <t>Waardelijst (preferred): ICD-10, SNOMED CT, ICD-O, Orphacode if rare disease is diagnosed</t>
  </si>
  <si>
    <t>CON-8.2</t>
  </si>
  <si>
    <t>Problem/Diagnosis name</t>
  </si>
  <si>
    <t>Identificatie van het probleem of de diagnose, met de naam erbij.
Opmerking: Codering van de naam van het probleem of de diagnose met een terminologie heeft de voorkeur, indien mogelijk.</t>
  </si>
  <si>
    <t xml:space="preserve">String of waardelijst </t>
  </si>
  <si>
    <t>CON-8.3</t>
  </si>
  <si>
    <t>ProbleemNaam</t>
  </si>
  <si>
    <t>De probleemnaam definieert het probleem. Afhankelijk van de setting kunnen verschillende codestelsels worden gebruikt. De ProbleemNaamCodelijst geeft een overzicht van de mogelijke codestelsels</t>
  </si>
  <si>
    <t>Waardelijst (DHD Diagnosethesaurus; ICD-10, dutch translation; SNOMED CT; NANDA-I; ICF; ICPC-1 NL; DSM-IV; DSM-5; GGZ Diagnoselijst)</t>
  </si>
  <si>
    <t>Zib 2017, zib 2020</t>
  </si>
  <si>
    <t>CON-8.4</t>
  </si>
  <si>
    <t>zorgepisodetitel</t>
  </si>
  <si>
    <t>Beschrijving van het gezondheidsprobleem. Dit kan een door de zorgverlener geformuleerde tekst zijn, danwel de tekstuele omschrijving van de ICPC code.</t>
  </si>
  <si>
    <t>Waardelijst (ICPC) + tekstuele omschrijving</t>
  </si>
  <si>
    <t>CON-9</t>
  </si>
  <si>
    <t>Begin datum van de conditie</t>
  </si>
  <si>
    <t>De datum en evt. tijd waarop de conditie is begonnen</t>
  </si>
  <si>
    <t>niet toekomst</t>
  </si>
  <si>
    <t>Ja (onsetDateTime)</t>
  </si>
  <si>
    <t>ja 0..1 Date/time of onset</t>
  </si>
  <si>
    <t>Ja, ProbleemBeginDatum</t>
  </si>
  <si>
    <t>CON-9.1</t>
  </si>
  <si>
    <t>onsetDate</t>
  </si>
  <si>
    <t>De datum waarop de conditie/probleem is begonnen</t>
  </si>
  <si>
    <t>CON-9.2</t>
  </si>
  <si>
    <t>ProbleemBeginDatum</t>
  </si>
  <si>
    <t>Begin van de aandoening, waarop het probleem betrekking heeft. Vooral bij klachten waarbij het langer duurt voordat de uiteindelijke diagnose gesteld wordt is het belangrijk niet alleen de diagnosedatum te weten, maar ook sinds wanneer de aandoening al bestaat. Een vage datum, bijv. alleen een jaartal of een maand en een jaartal, is toegestaan.</t>
  </si>
  <si>
    <t>Zib 2017; zib 2020</t>
  </si>
  <si>
    <t>CON-9.3</t>
  </si>
  <si>
    <t>zorgpepisode.startdatum</t>
  </si>
  <si>
    <t>Bij een episode kan zowel de startdatum van de episode zelf (het begin van de contacten tussen arts en patiënt over een gezondheidskwestie) worden vastgelegd, als de begindatum van de in de episodetitel beschreven aandoening.</t>
  </si>
  <si>
    <t>CON-10</t>
  </si>
  <si>
    <t>Eind datum van de conditie</t>
  </si>
  <si>
    <t>De datum en evt. tijd waarop de conditie is afgelopen</t>
  </si>
  <si>
    <t>verleden</t>
  </si>
  <si>
    <t>Ja (abatementDateTime)</t>
  </si>
  <si>
    <t>ja 0..1 Date/time of resolution</t>
  </si>
  <si>
    <t>CON-10.1</t>
  </si>
  <si>
    <t>endDate</t>
  </si>
  <si>
    <t>De datum of geschatte datum waarop de conditie in remissie ging of verdween</t>
  </si>
  <si>
    <t>Ja, ProbleemEindDatum</t>
  </si>
  <si>
    <t>CON-10.2</t>
  </si>
  <si>
    <t>ProbleemEindDatum</t>
  </si>
  <si>
    <t>Datum waarop de aandoening, waarop het probleem betrekking heeft, als niet meer aanwezig wordt beschouwd. Deze datum hoeft niet gelijk te zijn aan de datum waarop de statuswijzinging van het probleem is vastgelegd. Een vage datum, bijv. alleen een jaartal of een maand en een jaartal, is toegestaan.</t>
  </si>
  <si>
    <t>Usecase Spoedsamenvatting van Acute Zorg</t>
  </si>
  <si>
    <t>CON-10.3</t>
  </si>
  <si>
    <t>zorgepisode.Einddatum</t>
  </si>
  <si>
    <t>Indien de episode als periode gedefinieerd wordt, moet de einddatum van de afsluiting van de zorgepisode worden ingegegeven.</t>
  </si>
  <si>
    <t>CON-11</t>
  </si>
  <si>
    <t>category</t>
  </si>
  <si>
    <r>
      <rPr>
        <sz val="11"/>
        <color rgb="FF000000"/>
        <rFont val="Aptos Narrow"/>
        <scheme val="minor"/>
      </rPr>
      <t>Categorie(ën) van het probleem (bijv. POA - aanwezig bij opname, HAC - in het ziekenhuis opgelopen aandoening, en andere categorisaties)</t>
    </r>
    <r>
      <rPr>
        <sz val="11"/>
        <color rgb="FFFF0000"/>
        <rFont val="Aptos Narrow"/>
        <scheme val="minor"/>
      </rPr>
      <t>. -&gt; WAAROM WIL JE DIT VELD HEBBEN - Bouchra stuurt een link van EHN guidelines?</t>
    </r>
  </si>
  <si>
    <t>Ja (category)</t>
  </si>
  <si>
    <t>nee. Wouter vragen of dat via een cluster kan??</t>
  </si>
  <si>
    <t>CON-12</t>
  </si>
  <si>
    <t>resolutionCircumstances</t>
  </si>
  <si>
    <t>Beschrijft de reden waarom de status van het probleem is veranderd van actueel naar inactief (bijv. chirurgische ingreep, medische behandeling, enz.).</t>
  </si>
  <si>
    <t>String</t>
  </si>
  <si>
    <t>Ja? (note.text)</t>
  </si>
  <si>
    <t>Ja? Comment</t>
  </si>
  <si>
    <t>CON-13</t>
  </si>
  <si>
    <t>severity</t>
  </si>
  <si>
    <t>Een subjectieve beoordeling van de ernst van de aandoening, zoals vastgesteld door de arts.</t>
  </si>
  <si>
    <t>Waardelijst (preferred): HL7 Condition/Diagnosis Severity; SNOMED CT</t>
  </si>
  <si>
    <t>heden</t>
  </si>
  <si>
    <t>Ja  (Severity)</t>
  </si>
  <si>
    <t>Ja Severity (optional)</t>
  </si>
  <si>
    <t>CON-14</t>
  </si>
  <si>
    <t>bodySite</t>
  </si>
  <si>
    <t>De anatomische locatie, inclusief de zijde waar deze aandoening zich manifesteert.</t>
  </si>
  <si>
    <t>Verwijziging naar EHDSBodyStructure</t>
  </si>
  <si>
    <t>Ja (bodySite)</t>
  </si>
  <si>
    <t>Ja (StructuredBodySite)</t>
  </si>
  <si>
    <t>CON-14.1</t>
  </si>
  <si>
    <t>ProbleemAnatomischeLocatie</t>
  </si>
  <si>
    <t>Anatomische locatie die de focus is van de verrichting.</t>
  </si>
  <si>
    <t>CON-14.2</t>
  </si>
  <si>
    <t>ProbleemLateraliteit</t>
  </si>
  <si>
    <t>Lateraliteit verbijzondert de anatomische locatie door, indien van toepassing, de zijdigheid vast te leggen, bijvoorbeeld links.</t>
  </si>
  <si>
    <t>CON-15</t>
  </si>
  <si>
    <t>stage</t>
  </si>
  <si>
    <t>Het stadium/de graad wordt doorgaans formeel beoordeeld aan de hand van een specifiek stadium-/gradatiesysteem. Er kunnen meerdere beoordelingssystemen worden gebruikt.</t>
  </si>
  <si>
    <t>Waardelijst (preferred): e.g. TNM, ICD-O-3, Bi-Rads, Li-Rads, …</t>
  </si>
  <si>
    <t>Ja (stage)</t>
  </si>
  <si>
    <t>Ja/Nee maar via extensie / uitbreiding van archetype Specific Details (cluster?) -&gt; Wouter vragen.</t>
  </si>
  <si>
    <t>CON-16</t>
  </si>
  <si>
    <t>Status van verificatie van de conditie</t>
  </si>
  <si>
    <t>CON-16.1</t>
  </si>
  <si>
    <t>diagnosisAssertionStatus</t>
  </si>
  <si>
    <t>Een bewering over de zekerheid die aan een diagnose is verbonden. Diagnostisch en/of klinisch bewijs van een aandoening</t>
  </si>
  <si>
    <t>Waardelijst (preferred): HL7 Condition Verification Status</t>
  </si>
  <si>
    <t>Ja (verificationStatus)</t>
  </si>
  <si>
    <t>Ja? DiagnosticCertainty? proberbly, confermed, supsected</t>
  </si>
  <si>
    <t>VerificatieStatus ZIB!</t>
  </si>
  <si>
    <t>CON-P16.2</t>
  </si>
  <si>
    <t>VerificatieStatus</t>
  </si>
  <si>
    <t>Klinische status van het probleem of de diagnose.</t>
  </si>
  <si>
    <t xml:space="preserve">VerificatieStatusCodelijst </t>
  </si>
  <si>
    <t>CON-17</t>
  </si>
  <si>
    <t>specialistContact</t>
  </si>
  <si>
    <t>Een zorgverlener die specifiek betrokken is bij het probleem, als voorkeurscontactpersoon.</t>
  </si>
  <si>
    <t>Verwijzing naar de EHDSHealthProfessional</t>
  </si>
  <si>
    <t>Ja note.text/careteam.reason</t>
  </si>
  <si>
    <t>Onduidelijk, mogelijk other participants mits je aan kan geven dat het een voorkeurscontactpersoon is -&gt; Wouter vragen</t>
  </si>
  <si>
    <t>CON-18</t>
  </si>
  <si>
    <t>externalResource</t>
  </si>
  <si>
    <t>Externe bronnen die specifiek betrekking hebben op het probleem, bijvoorbeeld een link naar een probleem met een zeldzame ziekte en de bijbehorende richtlijnen</t>
  </si>
  <si>
    <t>uri</t>
  </si>
  <si>
    <t xml:space="preserve">0..* </t>
  </si>
  <si>
    <t>Ja(structureDefinition.extension:relatedArtifact) FMM2</t>
  </si>
  <si>
    <t>ja/nee Guideline Identifier (focust op richtlijnen of breder, LIM is breder)</t>
  </si>
  <si>
    <t>CON-19</t>
  </si>
  <si>
    <t>Toelichting van diegene die het Probleem heeft vastgesteld of bijgewerkt.</t>
  </si>
  <si>
    <t>Ja (note)</t>
  </si>
  <si>
    <t>Ja (comment)</t>
  </si>
  <si>
    <t>CON-20</t>
  </si>
  <si>
    <t>NadereSpecificatieProbleemNaam</t>
  </si>
  <si>
    <t>Wat is precies de behoefte van MBZ-MSZ voor een waardelijst als een naderespecificatie</t>
  </si>
  <si>
    <t xml:space="preserve">String en waardelijst </t>
  </si>
  <si>
    <t>Zib 2020; informatiestandaard BgZ-MSZ</t>
  </si>
  <si>
    <t xml:space="preserve">ja/nee (code.text) </t>
  </si>
  <si>
    <t>Ja, variant (tekst or coded tekst)</t>
  </si>
  <si>
    <t>Actie</t>
  </si>
  <si>
    <t>Notitie</t>
  </si>
  <si>
    <t>[Actie om te ondernemen, kies uit de 3 acties: cluster, andere bouwsteen en modelleren]</t>
  </si>
  <si>
    <t>[Eventuele notitie]</t>
  </si>
  <si>
    <t>[Naam van de informatie-requirement ]</t>
  </si>
  <si>
    <t>In het FHIR profiel is er voor de referentie voor auteur.Device nog geen Device profiel toegevoegd omdat nlcore-device nog niet bestaat. Deze moet tzt wel toegevoegd worden.</t>
  </si>
  <si>
    <t>Onderwerp</t>
  </si>
  <si>
    <t>Potentiële basismodellen</t>
  </si>
  <si>
    <t>FHIR R4 resource Condition
openEHR archetype Problem/Diagnosis 1.7.3</t>
  </si>
  <si>
    <t>Relatie met andere basismodellen</t>
  </si>
  <si>
    <t>Ter Discussie</t>
  </si>
  <si>
    <t>Data element</t>
  </si>
  <si>
    <t>Uitleg</t>
  </si>
  <si>
    <t>Uitkomst</t>
  </si>
  <si>
    <t>ProbleemNaamSpecifiek</t>
  </si>
  <si>
    <t>BgZ-MSZ 2.0</t>
  </si>
  <si>
    <t>Dit is een gecodeerde naam, maar dit was ook om voor te sorteren op zib2020. In de mapping naar FHIR is zib2020 uiteindelijk gekozen om deze specificatie in een notitie te zetten, aangezien dat meer was wat gevraagd werd. Zie: https://nictiz.atlassian.net/browse/ZIBFHIR-145. Het voorstel is: Condition.code.text
Functioneel gezien maken ze gebruik van dezelfde codelijst als ProbleemNaam maar dit element is alleen van toepassing voor medisch specialisten. Onduidelijk wat hiermee bedoeld wordt omdat deze informatiestandaard zich al beperkt tot MSZ. Mogelijk is hier ook geen informatiebehoefte,</t>
  </si>
  <si>
    <t>Episodetitel</t>
  </si>
  <si>
    <t>spoedsamenvatting 2.2.0</t>
  </si>
  <si>
    <t xml:space="preserve">Beschrijving van het gezondheidsprobleem. Dit kan een door de zorgverlener geformuleerde tekst zijn, danwel de tekstuele omschrijving van de ICPC code. ter discussie: patient kan meerdere problemen onder 1 episode hebben -&gt; hoe dat in HIS gemodelleerd is, is onduidelijk. De ontvangende zorverlener is geinteresseerd in de episodelijst van de huisarts, omdat die een overzicht geeft van de conditions (problem-list) van de patient, waarbij condition.category=problemlist.item is. 
https://referentiemodel.nhg.org/node/1594/publieksversie/published -&gt; diagnoses komen niet voor in het HIS, die zijn verdeeld onder episodes, of in de S-regel, of in de E-regel. de titel van de episode verandert in de loop van de tijd onder invloed van nieuwe inzichten of door het beloop van de aandoening, zoals de aanpassing van klacht naar diagnose (hoesten naar pneumonie), een nieuwe diagnose stelling (pneunomie wordt longcarcinoom) of de nuancering of verfijning van de diagnose (longcarcinoom naar longcarcinoom met metastases).  
is episode een condition?
</t>
  </si>
  <si>
    <t>EHDS LIM</t>
  </si>
  <si>
    <t>De vraag is of in de mapping naar FHIR hier nog naar een EHDS=professional gemapt kan worden, OF dat in LIM aangepast kan worden op iets wat FHIR aankan in de FHIR resource condition</t>
  </si>
  <si>
    <t>Auteur.device</t>
  </si>
  <si>
    <t>niet in FHIR wel in openEHR. komt hier een extension voor? Device wordt nu uitgewerkt in team carefuel</t>
  </si>
  <si>
    <r>
      <rPr>
        <sz val="11"/>
        <color rgb="FF000000"/>
        <rFont val="Aptos Narrow"/>
        <scheme val="minor"/>
      </rPr>
      <t>Na analyse blijkt FHIR beste keus, want:</t>
    </r>
    <r>
      <rPr>
        <sz val="11"/>
        <color rgb="FFFF0000"/>
        <rFont val="Aptos Narrow"/>
        <scheme val="minor"/>
      </rPr>
      <t xml:space="preserve">  [hier nog even de volwassenheid van FHIR-basismodel en openEHR neerzetten]
</t>
    </r>
    <r>
      <rPr>
        <sz val="11"/>
        <color rgb="FF000000"/>
        <rFont val="Aptos Narrow"/>
        <scheme val="minor"/>
      </rPr>
      <t>- category geen mapping heeft op openEHR en wel een mapping op FHIR
- diagnosisAssertionStatus waardelijst komt niet precies overeen bij openEHR, wel in FHIR
- stage komt niet precies overeen in openEHR, namelijk via extensie / uitbreiding van archetype Specific Details (cluster?), wel in FHIR
- nadereSpecificatieProbleemNaam heeft in ZIBFHIR-145 een mapping gekregen op FHIR, maar is duidelijker in openEHR gemodelleerd als "variant" (echter variant is specifieker, dan LIMS/ZIB wil duiden )
-specialistcontact: in openEHR is het onduidelijk, mogelijk other participants mits je aan kan geven dat het een voorkeurscontactpersoon is. in FHIR ook niet ideaal, namelijk note.text of via careteam.reason</t>
    </r>
  </si>
  <si>
    <t>Indicates the patient or group who the condition record is associated with.</t>
  </si>
  <si>
    <t>subject</t>
  </si>
  <si>
    <t>Waarom zetten we groep er wel of niet bij? Nu niet meegenomen, maar wellicht voor in de toekomst?</t>
  </si>
  <si>
    <t>clici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</si>
</sst>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b/>
      <sz val="11"/>
      <color theme="1"/>
      <name val="Aptos Narrow"/>
      <family val="2"/>
      <scheme val="minor"/>
    </font>
    <font>
      <i/>
      <sz val="11"/>
      <color theme="1"/>
      <name val="Aptos Narrow"/>
      <family val="2"/>
      <scheme val="minor"/>
    </font>
    <font>
      <i/>
      <sz val="12"/>
      <color theme="1"/>
      <name val="Aptos"/>
      <family val="2"/>
    </font>
    <font>
      <u/>
      <sz val="11"/>
      <color theme="10"/>
      <name val="Aptos Narrow"/>
      <family val="2"/>
      <scheme val="minor"/>
    </font>
    <font>
      <sz val="8"/>
      <name val="Aptos Narrow"/>
      <family val="2"/>
      <scheme val="minor"/>
    </font>
    <font>
      <b/>
      <sz val="11"/>
      <color rgb="FF242424"/>
      <name val="Aptos Narrow"/>
      <family val="2"/>
    </font>
    <font>
      <sz val="11"/>
      <color rgb="FFFF0000"/>
      <name val="Aptos Narrow"/>
      <family val="2"/>
      <scheme val="minor"/>
    </font>
    <font>
      <sz val="11"/>
      <color theme="0"/>
      <name val="Aptos Narrow"/>
      <family val="2"/>
      <scheme val="minor"/>
    </font>
    <font>
      <b/>
      <sz val="11"/>
      <color rgb="FF000000"/>
      <name val="Aptos Narrow"/>
      <family val="2"/>
      <scheme val="minor"/>
    </font>
    <font>
      <sz val="11"/>
      <color rgb="FF000000"/>
      <name val="Aptos Narrow"/>
      <family val="2"/>
      <scheme val="minor"/>
    </font>
    <font>
      <sz val="11"/>
      <color rgb="FF242424"/>
      <name val="Aptos Narrow"/>
      <charset val="1"/>
    </font>
    <font>
      <sz val="9"/>
      <color rgb="FF4D4D4D"/>
      <name val="Tahoma"/>
      <family val="2"/>
    </font>
    <font>
      <sz val="11"/>
      <color rgb="FF000000"/>
      <name val="Aptos Narrow"/>
      <scheme val="minor"/>
    </font>
    <font>
      <sz val="11"/>
      <color rgb="FF000000"/>
      <name val="Aptos Narrow"/>
    </font>
    <font>
      <sz val="9"/>
      <color rgb="FF4D4D4D"/>
      <name val="Tahoma"/>
    </font>
    <font>
      <sz val="11"/>
      <color rgb="FFFF0000"/>
      <name val="Aptos Narrow"/>
      <scheme val="minor"/>
    </font>
    <font>
      <sz val="7"/>
      <color rgb="FF333333"/>
      <name val="Verdana"/>
      <family val="2"/>
    </font>
  </fonts>
  <fills count="7">
    <fill>
      <patternFill patternType="none"/>
    </fill>
    <fill>
      <patternFill patternType="gray125"/>
    </fill>
    <fill>
      <patternFill patternType="solid">
        <fgColor rgb="FFE4E4E4"/>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FFC000"/>
        <bgColor indexed="64"/>
      </patternFill>
    </fill>
  </fills>
  <borders count="5">
    <border>
      <left/>
      <right/>
      <top/>
      <bottom/>
      <diagonal/>
    </border>
    <border>
      <left style="thin">
        <color rgb="FFCCCCCC"/>
      </left>
      <right style="thin">
        <color rgb="FFCCCCCC"/>
      </right>
      <top style="thin">
        <color rgb="FFCCCCCC"/>
      </top>
      <bottom style="thick">
        <color rgb="FFCCCCCC"/>
      </bottom>
      <diagonal/>
    </border>
    <border>
      <left style="thin">
        <color theme="5" tint="-0.249977111117893"/>
      </left>
      <right style="thin">
        <color theme="5" tint="-0.249977111117893"/>
      </right>
      <top/>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2">
    <xf numFmtId="0" fontId="0" fillId="0" borderId="0"/>
    <xf numFmtId="0" fontId="4" fillId="0" borderId="0" applyNumberFormat="0" applyFill="0" applyBorder="0" applyAlignment="0" applyProtection="0"/>
  </cellStyleXfs>
  <cellXfs count="40">
    <xf numFmtId="0" fontId="0" fillId="0" borderId="0" xfId="0"/>
    <xf numFmtId="0" fontId="2" fillId="0" borderId="0" xfId="0" applyFont="1"/>
    <xf numFmtId="0" fontId="1" fillId="0" borderId="0" xfId="0" applyFont="1"/>
    <xf numFmtId="0" fontId="0" fillId="0" borderId="0" xfId="0" applyAlignment="1">
      <alignment wrapText="1"/>
    </xf>
    <xf numFmtId="0" fontId="4" fillId="0" borderId="0" xfId="1" applyAlignment="1">
      <alignment wrapText="1"/>
    </xf>
    <xf numFmtId="0" fontId="4" fillId="0" borderId="0" xfId="1"/>
    <xf numFmtId="0" fontId="4" fillId="0" borderId="0" xfId="1" applyAlignment="1">
      <alignment horizontal="left" vertical="center" wrapText="1"/>
    </xf>
    <xf numFmtId="0" fontId="2" fillId="0" borderId="0" xfId="0" applyFont="1" applyAlignment="1">
      <alignment wrapText="1"/>
    </xf>
    <xf numFmtId="0" fontId="0" fillId="0" borderId="0" xfId="0" applyAlignment="1">
      <alignment horizontal="left" wrapText="1"/>
    </xf>
    <xf numFmtId="0" fontId="0" fillId="0" borderId="0" xfId="0" applyAlignment="1">
      <alignment horizontal="right"/>
    </xf>
    <xf numFmtId="0" fontId="1" fillId="0" borderId="0" xfId="0" applyFont="1" applyAlignment="1">
      <alignment wrapText="1"/>
    </xf>
    <xf numFmtId="0" fontId="6" fillId="0" borderId="0" xfId="0" applyFont="1"/>
    <xf numFmtId="0" fontId="0" fillId="0" borderId="0" xfId="0" applyAlignment="1">
      <alignment horizontal="left" vertical="top" wrapText="1"/>
    </xf>
    <xf numFmtId="0" fontId="8" fillId="0" borderId="2" xfId="0" applyFont="1" applyBorder="1" applyAlignment="1">
      <alignment horizontal="left" vertical="top" wrapText="1"/>
    </xf>
    <xf numFmtId="0" fontId="10" fillId="0" borderId="0" xfId="0" applyFont="1" applyAlignment="1">
      <alignment horizontal="left" vertical="top" wrapText="1"/>
    </xf>
    <xf numFmtId="0" fontId="1" fillId="0" borderId="0" xfId="0" applyFont="1" applyAlignment="1">
      <alignment horizontal="left" vertical="top" wrapText="1"/>
    </xf>
    <xf numFmtId="0" fontId="8" fillId="0" borderId="0" xfId="0" applyFont="1" applyAlignment="1">
      <alignment horizontal="left" vertical="top" wrapText="1"/>
    </xf>
    <xf numFmtId="0" fontId="11" fillId="0" borderId="0" xfId="0" applyFont="1" applyAlignment="1">
      <alignment wrapText="1"/>
    </xf>
    <xf numFmtId="0" fontId="0" fillId="4" borderId="3" xfId="0" applyFill="1" applyBorder="1" applyAlignment="1">
      <alignment wrapText="1"/>
    </xf>
    <xf numFmtId="0" fontId="3" fillId="0" borderId="0" xfId="0" applyFont="1"/>
    <xf numFmtId="0" fontId="9" fillId="0" borderId="0" xfId="0" applyFont="1" applyAlignment="1">
      <alignment horizontal="left" wrapText="1"/>
    </xf>
    <xf numFmtId="0" fontId="0" fillId="0" borderId="0" xfId="0" applyAlignment="1">
      <alignment horizontal="right" wrapText="1"/>
    </xf>
    <xf numFmtId="0" fontId="0" fillId="3" borderId="0" xfId="0" applyFill="1" applyAlignment="1">
      <alignment wrapText="1"/>
    </xf>
    <xf numFmtId="0" fontId="7" fillId="0" borderId="0" xfId="0" applyFont="1" applyAlignment="1">
      <alignment wrapText="1"/>
    </xf>
    <xf numFmtId="0" fontId="9" fillId="0" borderId="0" xfId="0" applyFont="1" applyAlignment="1">
      <alignment wrapText="1"/>
    </xf>
    <xf numFmtId="0" fontId="10" fillId="0" borderId="0" xfId="0" applyFont="1" applyAlignment="1">
      <alignment wrapText="1"/>
    </xf>
    <xf numFmtId="0" fontId="10" fillId="3" borderId="0" xfId="0" applyFont="1" applyFill="1" applyAlignment="1">
      <alignment wrapText="1"/>
    </xf>
    <xf numFmtId="0" fontId="11" fillId="0" borderId="0" xfId="0" applyFont="1"/>
    <xf numFmtId="0" fontId="10" fillId="0" borderId="0" xfId="0" applyFont="1" applyAlignment="1">
      <alignment horizontal="left" wrapText="1"/>
    </xf>
    <xf numFmtId="0" fontId="1" fillId="0" borderId="0" xfId="0" applyFont="1" applyAlignment="1">
      <alignment horizontal="left" wrapText="1"/>
    </xf>
    <xf numFmtId="0" fontId="12" fillId="0" borderId="0" xfId="0" applyFont="1" applyAlignment="1">
      <alignment wrapText="1"/>
    </xf>
    <xf numFmtId="0" fontId="12" fillId="0" borderId="0" xfId="0" applyFont="1"/>
    <xf numFmtId="0" fontId="12" fillId="2" borderId="1" xfId="0" applyFont="1" applyFill="1" applyBorder="1" applyAlignment="1">
      <alignment wrapText="1"/>
    </xf>
    <xf numFmtId="0" fontId="12" fillId="2" borderId="0" xfId="0" applyFont="1" applyFill="1" applyAlignment="1">
      <alignment wrapText="1"/>
    </xf>
    <xf numFmtId="0" fontId="0" fillId="5" borderId="0" xfId="0" applyFill="1" applyAlignment="1">
      <alignment wrapText="1"/>
    </xf>
    <xf numFmtId="0" fontId="14" fillId="0" borderId="0" xfId="0" applyFont="1" applyAlignment="1">
      <alignment wrapText="1"/>
    </xf>
    <xf numFmtId="0" fontId="0" fillId="6" borderId="0" xfId="0" applyFill="1" applyAlignment="1">
      <alignment wrapText="1"/>
    </xf>
    <xf numFmtId="0" fontId="0" fillId="0" borderId="4" xfId="0" applyBorder="1"/>
    <xf numFmtId="0" fontId="15" fillId="0" borderId="0" xfId="0" applyFont="1" applyAlignment="1">
      <alignment wrapText="1"/>
    </xf>
    <xf numFmtId="0" fontId="17" fillId="0" borderId="0" xfId="0" applyFont="1"/>
  </cellXfs>
  <cellStyles count="2">
    <cellStyle name="Hyperlink" xfId="1" builtinId="8"/>
    <cellStyle name="Standaard" xfId="0" builtinId="0"/>
  </cellStyles>
  <dxfs count="23">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alignment horizontal="righ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alignment wrapText="1"/>
    </dxf>
    <dxf>
      <alignment wrapText="1"/>
    </dxf>
    <dxf>
      <font>
        <b val="0"/>
        <i/>
        <strike val="0"/>
        <condense val="0"/>
        <extend val="0"/>
        <outline val="0"/>
        <shadow val="0"/>
        <u val="none"/>
        <vertAlign val="baseline"/>
        <sz val="11"/>
        <color theme="1"/>
        <name val="Aptos Narrow"/>
        <family val="2"/>
        <scheme val="minor"/>
      </font>
      <alignment wrapText="1"/>
    </dxf>
    <dxf>
      <font>
        <color rgb="FF000000"/>
      </font>
      <fill>
        <patternFill patternType="none"/>
      </fill>
      <alignment wrapText="1"/>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indexed="65"/>
        </patternFill>
      </fill>
      <alignment horizontal="left" vertical="top" textRotation="0" wrapText="1" indent="0" justifyLastLine="0" shrinkToFit="0" readingOrder="0"/>
    </dxf>
    <dxf>
      <font>
        <color rgb="FF000000"/>
        <family val="2"/>
      </font>
      <fill>
        <patternFill patternType="none"/>
      </fill>
      <alignment wrapText="1"/>
    </dxf>
    <dxf>
      <font>
        <b val="0"/>
        <i val="0"/>
        <strike val="0"/>
        <condense val="0"/>
        <extend val="0"/>
        <outline val="0"/>
        <shadow val="0"/>
        <u val="none"/>
        <vertAlign val="baseline"/>
        <sz val="11"/>
        <color theme="0"/>
        <name val="Aptos Narrow"/>
        <family val="2"/>
        <scheme val="minor"/>
      </font>
      <fill>
        <patternFill patternType="none">
          <fgColor indexed="64"/>
          <bgColor theme="5"/>
        </patternFill>
      </fill>
      <alignment horizontal="left" vertical="top" textRotation="0" wrapText="1" indent="0" justifyLastLine="0" shrinkToFit="0" readingOrder="0"/>
      <border diagonalUp="0" diagonalDown="0">
        <left style="thin">
          <color theme="5" tint="-0.249977111117893"/>
        </left>
        <right style="thin">
          <color theme="5" tint="-0.249977111117893"/>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285749</xdr:colOff>
      <xdr:row>0</xdr:row>
      <xdr:rowOff>119061</xdr:rowOff>
    </xdr:from>
    <xdr:to>
      <xdr:col>0</xdr:col>
      <xdr:colOff>7877174</xdr:colOff>
      <xdr:row>12</xdr:row>
      <xdr:rowOff>171450</xdr:rowOff>
    </xdr:to>
    <xdr:sp macro="" textlink="">
      <xdr:nvSpPr>
        <xdr:cNvPr id="2" name="TextBox 1">
          <a:extLst>
            <a:ext uri="{FF2B5EF4-FFF2-40B4-BE49-F238E27FC236}">
              <a16:creationId xmlns:a16="http://schemas.microsoft.com/office/drawing/2014/main" id="{2BA8536F-B30C-0A7B-7AC5-8CCD3B69224B}"/>
            </a:ext>
          </a:extLst>
        </xdr:cNvPr>
        <xdr:cNvSpPr txBox="1"/>
      </xdr:nvSpPr>
      <xdr:spPr>
        <a:xfrm>
          <a:off x="285749" y="119061"/>
          <a:ext cx="7591425" cy="23383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Het uitgangspunt dat er van elk concept binnen zorginformatie een afgebakend model is. Dit model moet precies gaan over één concept zodat het niet meerdere betekenissen kan hebben. Voorbeelden zijn patiënt, verrichting, labuitslag. Zie P3.3 van de architectuurprincipes zibs 2.0.</a:t>
          </a:r>
        </a:p>
        <a:p>
          <a:endParaRPr lang="nl-NL" sz="1100"/>
        </a:p>
        <a:p>
          <a:r>
            <a:rPr lang="nl-NL" sz="1100"/>
            <a:t>Om dit model boven water te krijgen, moet duidelijk zijn wat de informatiebehoefte is rond het concept. Daar is dit template voor bedoeld. Dit template is gebaseerd op AUCDI Release 2, maar vervolgens aangepast.</a:t>
          </a:r>
        </a:p>
        <a:p>
          <a:endParaRPr lang="nl-NL" sz="1100"/>
        </a:p>
        <a:p>
          <a:r>
            <a:rPr lang="nl-NL" sz="1100"/>
            <a:t>Doorgaans is er al een idee over afbakening van concepten. De eerste stap is om dit template in te vullen voor elk beoogd concept. Later kan blijken dat bepaalde informatie eigenlijk bij een ander concept hoort. Het opstellen van het model is dus een iteratief proces. </a:t>
          </a:r>
        </a:p>
        <a:p>
          <a:endParaRPr lang="nl-NL" sz="1100"/>
        </a:p>
        <a:p>
          <a:r>
            <a:rPr lang="nl-NL" sz="1100"/>
            <a:t>Bepaalde behoeften kunnen tijdens het modelleren bijvoorbeeld buiten scope geplaatst worden, of naar een ander concept verhuizen.</a:t>
          </a:r>
        </a:p>
        <a:p>
          <a:r>
            <a:rPr lang="nl-NL" sz="1100"/>
            <a:t>In dit template staan teksten tussen blokhaken ([]) deze teksten moeten concreet worden gemaakt.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161925</xdr:colOff>
      <xdr:row>0</xdr:row>
      <xdr:rowOff>223837</xdr:rowOff>
    </xdr:from>
    <xdr:to>
      <xdr:col>8</xdr:col>
      <xdr:colOff>342900</xdr:colOff>
      <xdr:row>0</xdr:row>
      <xdr:rowOff>2181225</xdr:rowOff>
    </xdr:to>
    <xdr:sp macro="" textlink="">
      <xdr:nvSpPr>
        <xdr:cNvPr id="2" name="TextBox 1">
          <a:extLst>
            <a:ext uri="{FF2B5EF4-FFF2-40B4-BE49-F238E27FC236}">
              <a16:creationId xmlns:a16="http://schemas.microsoft.com/office/drawing/2014/main" id="{D7E9BA32-9F57-9DBE-09F8-19BB04854D12}"/>
            </a:ext>
          </a:extLst>
        </xdr:cNvPr>
        <xdr:cNvSpPr txBox="1"/>
      </xdr:nvSpPr>
      <xdr:spPr>
        <a:xfrm>
          <a:off x="161925" y="223837"/>
          <a:ext cx="6705600" cy="195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4761</xdr:rowOff>
    </xdr:from>
    <xdr:to>
      <xdr:col>3</xdr:col>
      <xdr:colOff>3295650</xdr:colOff>
      <xdr:row>0</xdr:row>
      <xdr:rowOff>1800224</xdr:rowOff>
    </xdr:to>
    <xdr:sp macro="" textlink="">
      <xdr:nvSpPr>
        <xdr:cNvPr id="2" name="TextBox 1">
          <a:extLst>
            <a:ext uri="{FF2B5EF4-FFF2-40B4-BE49-F238E27FC236}">
              <a16:creationId xmlns:a16="http://schemas.microsoft.com/office/drawing/2014/main" id="{91B98F90-F065-D25C-D33F-375EF972FAA5}"/>
            </a:ext>
          </a:extLst>
        </xdr:cNvPr>
        <xdr:cNvSpPr txBox="1"/>
      </xdr:nvSpPr>
      <xdr:spPr>
        <a:xfrm>
          <a:off x="0" y="4761"/>
          <a:ext cx="5410200" cy="17954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Voor het concept wordt een beschrijving gemaakt van alle informatie waar behoefte aan is. Dit wordt uitgesplitst in individuele elementen, zoals een “datum” of “periode”, een “categorie”, etc.</a:t>
          </a:r>
        </a:p>
        <a:p>
          <a:endParaRPr lang="nl-NL" sz="1100">
            <a:solidFill>
              <a:schemeClr val="dk1"/>
            </a:solidFill>
            <a:effectLst/>
            <a:latin typeface="+mn-lt"/>
            <a:ea typeface="+mn-ea"/>
            <a:cs typeface="+mn-cs"/>
          </a:endParaRPr>
        </a:p>
        <a:p>
          <a:r>
            <a:rPr lang="nl-NL" sz="1100">
              <a:solidFill>
                <a:schemeClr val="dk1"/>
              </a:solidFill>
              <a:effectLst/>
              <a:latin typeface="+mn-lt"/>
              <a:ea typeface="+mn-ea"/>
              <a:cs typeface="+mn-cs"/>
            </a:rPr>
            <a:t>Het gaat hier nog om een </a:t>
          </a:r>
          <a:r>
            <a:rPr lang="nl-NL" sz="1100" i="1">
              <a:solidFill>
                <a:schemeClr val="dk1"/>
              </a:solidFill>
              <a:effectLst/>
              <a:latin typeface="+mn-lt"/>
              <a:ea typeface="+mn-ea"/>
              <a:cs typeface="+mn-cs"/>
            </a:rPr>
            <a:t>beschrijving</a:t>
          </a:r>
          <a:r>
            <a:rPr lang="nl-NL" sz="1100">
              <a:solidFill>
                <a:schemeClr val="dk1"/>
              </a:solidFill>
              <a:effectLst/>
              <a:latin typeface="+mn-lt"/>
              <a:ea typeface="+mn-ea"/>
              <a:cs typeface="+mn-cs"/>
            </a:rPr>
            <a:t> van de behoefte (</a:t>
          </a:r>
          <a:r>
            <a:rPr lang="nl-NL" sz="1100" i="1">
              <a:solidFill>
                <a:schemeClr val="dk1"/>
              </a:solidFill>
              <a:effectLst/>
              <a:latin typeface="+mn-lt"/>
              <a:ea typeface="+mn-ea"/>
              <a:cs typeface="+mn-cs"/>
            </a:rPr>
            <a:t>requirements</a:t>
          </a:r>
          <a:r>
            <a:rPr lang="nl-NL" sz="1100">
              <a:solidFill>
                <a:schemeClr val="dk1"/>
              </a:solidFill>
              <a:effectLst/>
              <a:latin typeface="+mn-lt"/>
              <a:ea typeface="+mn-ea"/>
              <a:cs typeface="+mn-cs"/>
            </a:rPr>
            <a:t>), en niet per se wat het uiteindelijke data-element zal worden. Uiteindelijk moet er een logisch model gekozen worden dat alle behoeften kan afdekken, maar daarvoor is het eerst nodig om eenduidig te weten waar are behoefte aan is.</a:t>
          </a:r>
          <a:endParaRPr lang="nl-NL"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152400</xdr:colOff>
      <xdr:row>0</xdr:row>
      <xdr:rowOff>176211</xdr:rowOff>
    </xdr:from>
    <xdr:to>
      <xdr:col>10</xdr:col>
      <xdr:colOff>419100</xdr:colOff>
      <xdr:row>0</xdr:row>
      <xdr:rowOff>1438274</xdr:rowOff>
    </xdr:to>
    <xdr:sp macro="" textlink="">
      <xdr:nvSpPr>
        <xdr:cNvPr id="2" name="TextBox 1">
          <a:extLst>
            <a:ext uri="{FF2B5EF4-FFF2-40B4-BE49-F238E27FC236}">
              <a16:creationId xmlns:a16="http://schemas.microsoft.com/office/drawing/2014/main" id="{E995EB8B-E293-1E48-6A61-AC6B0CB2A5D4}"/>
            </a:ext>
          </a:extLst>
        </xdr:cNvPr>
        <xdr:cNvSpPr txBox="1"/>
      </xdr:nvSpPr>
      <xdr:spPr>
        <a:xfrm>
          <a:off x="152400" y="176211"/>
          <a:ext cx="6362700" cy="12620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0</xdr:row>
      <xdr:rowOff>100011</xdr:rowOff>
    </xdr:from>
    <xdr:to>
      <xdr:col>8</xdr:col>
      <xdr:colOff>561975</xdr:colOff>
      <xdr:row>0</xdr:row>
      <xdr:rowOff>1266824</xdr:rowOff>
    </xdr:to>
    <xdr:sp macro="" textlink="">
      <xdr:nvSpPr>
        <xdr:cNvPr id="2" name="TextBox 1">
          <a:extLst>
            <a:ext uri="{FF2B5EF4-FFF2-40B4-BE49-F238E27FC236}">
              <a16:creationId xmlns:a16="http://schemas.microsoft.com/office/drawing/2014/main" id="{932727F7-6415-BEA1-02B5-BF895301A3F4}"/>
            </a:ext>
          </a:extLst>
        </xdr:cNvPr>
        <xdr:cNvSpPr txBox="1"/>
      </xdr:nvSpPr>
      <xdr:spPr>
        <a:xfrm>
          <a:off x="85725" y="100011"/>
          <a:ext cx="5353050" cy="11668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0</xdr:colOff>
      <xdr:row>9</xdr:row>
      <xdr:rowOff>0</xdr:rowOff>
    </xdr:from>
    <xdr:to>
      <xdr:col>3</xdr:col>
      <xdr:colOff>2880360</xdr:colOff>
      <xdr:row>29</xdr:row>
      <xdr:rowOff>123825</xdr:rowOff>
    </xdr:to>
    <xdr:pic>
      <xdr:nvPicPr>
        <xdr:cNvPr id="6" name="Afbeelding 1">
          <a:extLst>
            <a:ext uri="{FF2B5EF4-FFF2-40B4-BE49-F238E27FC236}">
              <a16:creationId xmlns:a16="http://schemas.microsoft.com/office/drawing/2014/main" id="{003B378A-E260-9EB9-1F30-F75DD4C8CACD}"/>
            </a:ext>
          </a:extLst>
        </xdr:cNvPr>
        <xdr:cNvPicPr>
          <a:picLocks noChangeAspect="1"/>
        </xdr:cNvPicPr>
      </xdr:nvPicPr>
      <xdr:blipFill>
        <a:blip xmlns:r="http://schemas.openxmlformats.org/officeDocument/2006/relationships" r:embed="rId1"/>
        <a:stretch>
          <a:fillRect/>
        </a:stretch>
      </xdr:blipFill>
      <xdr:spPr>
        <a:xfrm>
          <a:off x="609600" y="5943600"/>
          <a:ext cx="6667500" cy="37814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Chevy Susanto" id="{E6DC4CC4-5331-4633-9C1C-269F406E61BD}" userId="S::chevy.susanto@nictiz.nl::4e93d0cc-e599-42c6-82b7-6ffb715c7e27" providerId="AD"/>
  <person displayName="Marija Zivlak" id="{86017760-9D2E-4C04-A548-4B0AED173840}" userId="S::marija.zivlak@nictiz.nl::bf2ce3ca-25b5-4480-970b-97ae1d2e4e23" providerId="AD"/>
  <person displayName="Shenaida Hoogland" id="{67CE0BAC-4786-48DE-9DCD-69E1F3FACFC1}" userId="S::shenaida.hoogland@nictiz.nl::5cd1034b-031f-49e9-a727-e4ecba7d58d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AAA9086-205B-4EC4-8920-A2DD04D02676}" name="Tabel2" displayName="Tabel2" ref="A2:F13" totalsRowShown="0">
  <autoFilter ref="A2:F13" xr:uid="{7AAA9086-205B-4EC4-8920-A2DD04D02676}"/>
  <tableColumns count="6">
    <tableColumn id="1" xr3:uid="{BDCFF82A-D4BE-440B-90DF-AA26F6831D5C}" name="Veld"/>
    <tableColumn id="2" xr3:uid="{77503B9E-152C-4B39-87F4-D4FBBF1B3BDA}" name="Beschrijving" dataDxfId="16"/>
    <tableColumn id="3" xr3:uid="{DAF348AE-F547-4357-9E3C-18B833059F60}" name="Invulling (zelf beschreven op basis van openEHR, FHIR R4 en EHDS LIM)" dataDxfId="15"/>
    <tableColumn id="4" xr3:uid="{6782DEBA-8C39-4E2C-BBC2-2CD68FCA1048}" name="Bronnen" dataDxfId="14"/>
    <tableColumn id="5" xr3:uid="{B530BE2A-715C-42B8-BFE1-95637D35484B}" name="a.d.h.v. keuze FHIR als basismodel"/>
    <tableColumn id="6" xr3:uid="{1CF171A1-4997-44CE-A155-D2A5B879A058}" name="a.d.h.v. keuze OpenEHR als basismode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14A882-8085-4978-86D3-1A5B42023C72}" name="Tabel3" displayName="Tabel3" ref="A1:E17" totalsRowShown="0" headerRowDxfId="13" dataDxfId="12">
  <autoFilter ref="A1:E17" xr:uid="{1B14A882-8085-4978-86D3-1A5B42023C72}"/>
  <tableColumns count="5">
    <tableColumn id="1" xr3:uid="{2D5F85E5-856C-4A15-8C5D-D8D344B8F13C}" name="Type bron" dataDxfId="11"/>
    <tableColumn id="2" xr3:uid="{062A7D5A-6D4F-45DD-9A5C-7A2D82A1266A}" name="Naam bron" dataDxfId="10"/>
    <tableColumn id="3" xr3:uid="{24E64AAE-4BAD-402C-98B7-B46BE371B39E}" name="Toelichting" dataDxfId="9"/>
    <tableColumn id="5" xr3:uid="{98DE6918-807C-41E0-ACBA-1E2221CF05FC}" name="Informatiebehoefte verwerkt in sheet 'informatiebeheofte'" dataDxfId="8"/>
    <tableColumn id="6" xr3:uid="{8CFF4D4C-ABDD-49BC-8B49-237193168687}" name="Link naar bron informatie" dataDxfId="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D02605E-6993-49A7-90CB-92D41480A08E}" name="Tabel6" displayName="Tabel6" ref="A2:N50" totalsRowShown="0" headerRowDxfId="6">
  <autoFilter ref="A2:N50" xr:uid="{2D02605E-6993-49A7-90CB-92D41480A08E}"/>
  <tableColumns count="14">
    <tableColumn id="1" xr3:uid="{51E2B1E8-BF1C-4C85-9A83-8C69A4006993}" name="Nummer" dataDxfId="5"/>
    <tableColumn id="2" xr3:uid="{021C00E0-4FF4-4652-B8E3-674B1F145954}" name="Naam" dataDxfId="4"/>
    <tableColumn id="12" xr3:uid="{721FE94A-B8C9-44E1-A03C-56E48CDCE2A3}" name="data-element"/>
    <tableColumn id="3" xr3:uid="{12776FCA-6A89-4E9E-907F-2E30F0D43DA3}" name="Omschrijving" dataDxfId="3"/>
    <tableColumn id="4" xr3:uid="{9E28C4DB-2A8B-484B-80F1-321440976652}" name="Variabiliteit" dataDxfId="2"/>
    <tableColumn id="5" xr3:uid="{6FA3E114-7382-4230-B15E-A8DB28B8CE4B}" name="Aanwezigheid"/>
    <tableColumn id="6" xr3:uid="{E8FFDBDF-8B88-4089-89D0-252402D12764}" name="Verleden/heden/toekomst"/>
    <tableColumn id="7" xr3:uid="{BB9C62AB-9839-431A-90A2-B6A6D70DF1FB}" name="Herkomst"/>
    <tableColumn id="8" xr3:uid="{6BE87E7D-EFAE-42FD-9334-11E5EBAC9DC3}" name="Komt het in FHIR R4 voor?"/>
    <tableColumn id="9" xr3:uid="{C6EE00AA-2B37-4BE3-B349-AF61C6E68575}" name="Komt het in openEHR voor?"/>
    <tableColumn id="10" xr3:uid="{943D4BF3-315C-41FB-99E4-8DB8C54604A4}" name="Komt voor in ZIBProbleem-v4.4? (2020)"/>
    <tableColumn id="14" xr3:uid="{8B1A7EB4-D690-4A36-9698-ACA592C2A715}" name="Komt voor in ZIBProbleem? (2017)" dataDxfId="1"/>
    <tableColumn id="13" xr3:uid="{51A57E0A-A216-45BB-973D-E0D8C72BEEEC}" name="Komt voor in ZIBProbleem? (2024)" dataDxfId="0"/>
    <tableColumn id="11" xr3:uid="{E7EDB106-7E3F-4122-A864-3B3AE59C9D87}" name="Opmerking"/>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40E6C54-E02A-43EF-B5CE-2ED10C0E81CC}" name="Tabel4" displayName="Tabel4" ref="A1:B10" totalsRowShown="0">
  <autoFilter ref="A1:B10" xr:uid="{D40E6C54-E02A-43EF-B5CE-2ED10C0E81CC}"/>
  <tableColumns count="2">
    <tableColumn id="1" xr3:uid="{1D3A3996-9522-47BD-A751-E89853DA6961}" name="Onderwerp"/>
    <tableColumn id="2" xr3:uid="{94A6C837-66E7-431B-BCBD-5F91E5A4C661}" name="Toelichting"/>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7319CEB-0666-49DA-BC74-CF83CFEF5B56}" name="Tabel36" displayName="Tabel36" ref="B3:E8" totalsRowShown="0" headerRowDxfId="22" dataDxfId="21">
  <autoFilter ref="B3:E8" xr:uid="{87319CEB-0666-49DA-BC74-CF83CFEF5B56}"/>
  <tableColumns count="4">
    <tableColumn id="1" xr3:uid="{560ECDF4-85E6-4E09-A58E-EF7D363E1023}" name="Data element" dataDxfId="20"/>
    <tableColumn id="2" xr3:uid="{7F322FC5-2406-403F-A6D2-4B8A1403332A}" name="Informatiestandaard" dataDxfId="19"/>
    <tableColumn id="3" xr3:uid="{735B888A-5B6D-4761-9CE2-3D7CE959A3F7}" name="Uitleg" dataDxfId="18"/>
    <tableColumn id="4" xr3:uid="{B46EF00D-8E8C-4C31-9A1B-A5AED42F9E48}" name="Uitkomst" dataDxfId="17"/>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3" dT="2026-07-23T07:54:32.60" personId="{E6DC4CC4-5331-4633-9C1C-269F406E61BD}" id="{FC56F738-FB65-495B-9B48-E0F47216F010}">
    <text>AllergyInt heeft een andere naam conventie voor ‘Nummer’. Controleren welke juist is.</text>
  </threadedComment>
  <threadedComment ref="J19" dT="2026-07-16T05:50:21.33" personId="{67CE0BAC-4786-48DE-9DCD-69E1F3FACFC1}" id="{903FD87C-9891-4AE1-9361-7224FCD06B01}">
    <text> active
 inactive
 resolved
 in remission
 evolution status - initial, interim/working, final; temporal status - current, past; episodicity status - first, new, ongoing; admission status - admission, discharge; or priority status - primary, secondary.</text>
  </threadedComment>
  <threadedComment ref="K19" dT="2026-07-20T09:26:12.56" personId="{E6DC4CC4-5331-4633-9C1C-269F406E61BD}" id="{B3533A99-0CB6-4646-9417-20A66FEFD573}">
    <text>1. Actief
2. Inactief
Kortere waardelijst</text>
  </threadedComment>
  <threadedComment ref="K23" dT="2026-07-20T09:50:58.06" personId="{E6DC4CC4-5331-4633-9C1C-269F406E61BD}" id="{20B2A504-5F6F-4996-9921-E2104F9548D8}">
    <text>Wel in metadata!</text>
  </threadedComment>
  <threadedComment ref="E26" dT="2026-07-20T11:55:56.61" personId="{86017760-9D2E-4C04-A548-4B0AED173840}" id="{DC3A08E9-01DD-48D1-B7F5-357810DE5428}">
    <text>Onduidelijk welke waardelijst gehandeerd moet worden</text>
  </threadedComment>
  <threadedComment ref="B28" dT="2026-07-22T10:46:13.79" personId="{67CE0BAC-4786-48DE-9DCD-69E1F3FACFC1}" id="{035A58F6-6A6B-4788-883F-2110C3BA07ED}">
    <text>ter discussie</text>
  </threadedComment>
  <threadedComment ref="C28" dT="2026-07-22T10:46:13.79" personId="{67CE0BAC-4786-48DE-9DCD-69E1F3FACFC1}" id="{00D6E7CD-1959-4C9A-8BC1-A1E323A0102F}">
    <text>ter discussie</text>
  </threadedComment>
  <threadedComment ref="C36" dT="2026-07-22T10:57:31.61" personId="{67CE0BAC-4786-48DE-9DCD-69E1F3FACFC1}" id="{065B39A6-9843-49BF-88E8-0C2BF95F8D00}">
    <text>ter discussie</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hyperlink" Target="https://www.hl7.org/fhir/R4/condition.html" TargetMode="External"/></Relationships>
</file>

<file path=xl/worksheets/_rels/sheet3.xml.rels><?xml version="1.0" encoding="UTF-8" standalone="yes"?>
<Relationships xmlns="http://schemas.openxmlformats.org/package/2006/relationships"><Relationship Id="rId8" Type="http://schemas.openxmlformats.org/officeDocument/2006/relationships/table" Target="../tables/table2.xml"/><Relationship Id="rId3" Type="http://schemas.openxmlformats.org/officeDocument/2006/relationships/hyperlink" Target="https://www.zibs.nl/wiki/Probleem-v4.1(2017NL)" TargetMode="External"/><Relationship Id="rId7" Type="http://schemas.openxmlformats.org/officeDocument/2006/relationships/hyperlink" Target="https://ckm.openehr.org/ckm/archetypes/1013.1.169" TargetMode="External"/><Relationship Id="rId2" Type="http://schemas.openxmlformats.org/officeDocument/2006/relationships/hyperlink" Target="https://build.fhir.org/ig/Xt-EHR/xt-ehr-common/en/StructureDefinition-EHDSCondition.html" TargetMode="External"/><Relationship Id="rId1" Type="http://schemas.openxmlformats.org/officeDocument/2006/relationships/hyperlink" Target="https://www.hl7.org/fhir/R4/condition.html" TargetMode="External"/><Relationship Id="rId6" Type="http://schemas.openxmlformats.org/officeDocument/2006/relationships/hyperlink" Target="https://decor.nictiz.nl/pub/bgz2017/bgz2017-html-20260422T141230/tr-2.16.840.1.113883.2.4.3.11.60.42.4.42-2024-03-27T165734.html" TargetMode="External"/><Relationship Id="rId5" Type="http://schemas.openxmlformats.org/officeDocument/2006/relationships/hyperlink" Target="https://www.zibs.nl/wiki/Diagnose-v2.0(2024NL)" TargetMode="External"/><Relationship Id="rId4" Type="http://schemas.openxmlformats.org/officeDocument/2006/relationships/hyperlink" Target="https://www.zibs.nl/wiki/Probleem-v4.4(2020NL)"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013F7-63B2-4F83-92B0-1C8153859891}">
  <dimension ref="A1:C19"/>
  <sheetViews>
    <sheetView workbookViewId="0">
      <selection activeCell="A22" sqref="A22"/>
    </sheetView>
  </sheetViews>
  <sheetFormatPr defaultRowHeight="14.4" x14ac:dyDescent="0.3"/>
  <cols>
    <col min="1" max="1" width="218.44140625" customWidth="1"/>
  </cols>
  <sheetData>
    <row r="1" spans="1:1" ht="15" customHeight="1" x14ac:dyDescent="0.3">
      <c r="A1" s="3"/>
    </row>
    <row r="18" spans="2:3" x14ac:dyDescent="0.3">
      <c r="B18">
        <f>(510*132.5) + (160*132.5)</f>
        <v>88775</v>
      </c>
      <c r="C18">
        <v>5832</v>
      </c>
    </row>
    <row r="19" spans="2:3" x14ac:dyDescent="0.3">
      <c r="B19">
        <f>(542*132.5)</f>
        <v>71815</v>
      </c>
      <c r="C19">
        <v>5164</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1E3B3-D087-4A2B-920B-9BA971FAD64B}">
  <dimension ref="A1:G13"/>
  <sheetViews>
    <sheetView topLeftCell="B7" zoomScale="70" zoomScaleNormal="70" workbookViewId="0">
      <selection activeCell="E4" sqref="E4"/>
    </sheetView>
  </sheetViews>
  <sheetFormatPr defaultRowHeight="14.4" x14ac:dyDescent="0.3"/>
  <cols>
    <col min="1" max="1" width="23" customWidth="1"/>
    <col min="2" max="2" width="62.33203125" customWidth="1"/>
    <col min="3" max="3" width="76.44140625" style="3" customWidth="1"/>
    <col min="4" max="4" width="30" style="3" customWidth="1"/>
    <col min="5" max="5" width="45.5546875" customWidth="1"/>
    <col min="6" max="6" width="64.109375" customWidth="1"/>
    <col min="7" max="7" width="129.5546875" customWidth="1"/>
  </cols>
  <sheetData>
    <row r="1" spans="1:7" ht="190.5" customHeight="1" x14ac:dyDescent="0.3">
      <c r="A1" s="3"/>
    </row>
    <row r="2" spans="1:7" x14ac:dyDescent="0.3">
      <c r="A2" s="2" t="s">
        <v>0</v>
      </c>
      <c r="B2" s="2" t="s">
        <v>1</v>
      </c>
      <c r="C2" s="3" t="s">
        <v>2</v>
      </c>
      <c r="D2" s="3" t="s">
        <v>3</v>
      </c>
      <c r="E2" s="3" t="s">
        <v>4</v>
      </c>
      <c r="F2" s="3" t="s">
        <v>5</v>
      </c>
    </row>
    <row r="3" spans="1:7" ht="219.75" customHeight="1" x14ac:dyDescent="0.3">
      <c r="A3" t="s">
        <v>6</v>
      </c>
      <c r="B3" s="7" t="s">
        <v>7</v>
      </c>
      <c r="C3" s="8" t="s">
        <v>8</v>
      </c>
      <c r="D3" s="3" t="s">
        <v>9</v>
      </c>
      <c r="E3" s="3" t="s">
        <v>10</v>
      </c>
      <c r="F3" s="3" t="s">
        <v>11</v>
      </c>
      <c r="G3" s="18" t="s">
        <v>12</v>
      </c>
    </row>
    <row r="4" spans="1:7" ht="165" customHeight="1" x14ac:dyDescent="0.3">
      <c r="A4" t="s">
        <v>13</v>
      </c>
      <c r="B4" s="7" t="s">
        <v>14</v>
      </c>
      <c r="C4" s="3" t="s">
        <v>15</v>
      </c>
      <c r="D4" s="3" t="s">
        <v>16</v>
      </c>
      <c r="E4" s="3" t="s">
        <v>17</v>
      </c>
      <c r="F4" s="3" t="s">
        <v>18</v>
      </c>
    </row>
    <row r="5" spans="1:7" ht="360" x14ac:dyDescent="0.3">
      <c r="A5" t="s">
        <v>19</v>
      </c>
      <c r="B5" s="7" t="s">
        <v>20</v>
      </c>
      <c r="C5" s="3" t="s">
        <v>21</v>
      </c>
      <c r="D5" s="3" t="s">
        <v>22</v>
      </c>
      <c r="E5" s="3" t="s">
        <v>23</v>
      </c>
      <c r="F5" s="3" t="s">
        <v>24</v>
      </c>
    </row>
    <row r="6" spans="1:7" ht="86.4" x14ac:dyDescent="0.3">
      <c r="A6" t="s">
        <v>25</v>
      </c>
      <c r="B6" s="7" t="s">
        <v>26</v>
      </c>
      <c r="C6" s="3" t="s">
        <v>27</v>
      </c>
      <c r="D6" s="3" t="s">
        <v>28</v>
      </c>
      <c r="E6" s="3" t="s">
        <v>29</v>
      </c>
      <c r="G6" s="37" t="s">
        <v>30</v>
      </c>
    </row>
    <row r="7" spans="1:7" ht="72" x14ac:dyDescent="0.3">
      <c r="A7" t="s">
        <v>31</v>
      </c>
      <c r="B7" s="7" t="s">
        <v>32</v>
      </c>
      <c r="C7" s="3" t="s">
        <v>33</v>
      </c>
      <c r="D7" s="3" t="s">
        <v>9</v>
      </c>
    </row>
    <row r="8" spans="1:7" ht="156" customHeight="1" x14ac:dyDescent="0.3">
      <c r="A8" t="s">
        <v>34</v>
      </c>
      <c r="B8" s="7" t="s">
        <v>35</v>
      </c>
      <c r="C8" s="3" t="s">
        <v>36</v>
      </c>
      <c r="D8" s="3" t="s">
        <v>9</v>
      </c>
      <c r="E8" s="3" t="s">
        <v>37</v>
      </c>
      <c r="F8" s="3" t="s">
        <v>38</v>
      </c>
    </row>
    <row r="9" spans="1:7" ht="129.6" x14ac:dyDescent="0.3">
      <c r="A9" t="s">
        <v>39</v>
      </c>
      <c r="B9" s="7" t="s">
        <v>40</v>
      </c>
      <c r="C9" s="3" t="s">
        <v>41</v>
      </c>
      <c r="D9" s="3" t="s">
        <v>9</v>
      </c>
      <c r="E9" s="3" t="s">
        <v>42</v>
      </c>
    </row>
    <row r="10" spans="1:7" ht="28.8" x14ac:dyDescent="0.3">
      <c r="A10" t="s">
        <v>43</v>
      </c>
      <c r="B10" s="7" t="s">
        <v>44</v>
      </c>
      <c r="C10" s="3" t="s">
        <v>45</v>
      </c>
      <c r="E10" s="5" t="s">
        <v>46</v>
      </c>
    </row>
    <row r="11" spans="1:7" ht="28.8" x14ac:dyDescent="0.3">
      <c r="A11" t="s">
        <v>47</v>
      </c>
      <c r="B11" s="7" t="s">
        <v>48</v>
      </c>
    </row>
    <row r="12" spans="1:7" ht="216" customHeight="1" x14ac:dyDescent="0.3">
      <c r="A12" t="s">
        <v>49</v>
      </c>
      <c r="B12" s="7"/>
      <c r="C12" s="3" t="s">
        <v>351</v>
      </c>
    </row>
    <row r="13" spans="1:7" x14ac:dyDescent="0.3">
      <c r="A13" t="s">
        <v>50</v>
      </c>
      <c r="B13" s="7"/>
    </row>
  </sheetData>
  <hyperlinks>
    <hyperlink ref="E10" r:id="rId1" display="https://www.hl7.org/fhir/R4/condition.html" xr:uid="{6169B330-2124-4ACC-9C33-24AFE1D4848F}"/>
  </hyperlinks>
  <pageMargins left="0.7" right="0.7" top="0.75" bottom="0.75" header="0.3" footer="0.3"/>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A88E1-0CFC-4A69-A682-35DA329C9688}">
  <dimension ref="A1:E17"/>
  <sheetViews>
    <sheetView workbookViewId="0">
      <selection activeCell="E3" sqref="E3"/>
    </sheetView>
  </sheetViews>
  <sheetFormatPr defaultRowHeight="14.4" x14ac:dyDescent="0.3"/>
  <cols>
    <col min="1" max="1" width="19.33203125" customWidth="1"/>
    <col min="2" max="2" width="51.33203125" customWidth="1"/>
    <col min="3" max="3" width="67.33203125" customWidth="1"/>
    <col min="4" max="4" width="28" customWidth="1"/>
    <col min="5" max="5" width="58.109375" customWidth="1"/>
  </cols>
  <sheetData>
    <row r="1" spans="1:5" ht="28.5" customHeight="1" x14ac:dyDescent="0.3">
      <c r="A1" s="3" t="s">
        <v>51</v>
      </c>
      <c r="B1" s="3" t="s">
        <v>52</v>
      </c>
      <c r="C1" s="3" t="s">
        <v>53</v>
      </c>
      <c r="D1" s="3" t="s">
        <v>54</v>
      </c>
      <c r="E1" s="3" t="s">
        <v>55</v>
      </c>
    </row>
    <row r="2" spans="1:5" ht="28.8" x14ac:dyDescent="0.3">
      <c r="A2" s="3" t="s">
        <v>56</v>
      </c>
      <c r="B2" s="3" t="s">
        <v>57</v>
      </c>
      <c r="C2" s="3" t="s">
        <v>58</v>
      </c>
      <c r="D2" s="3" t="s">
        <v>59</v>
      </c>
      <c r="E2" s="5" t="s">
        <v>60</v>
      </c>
    </row>
    <row r="3" spans="1:5" ht="28.8" x14ac:dyDescent="0.3">
      <c r="A3" s="3" t="s">
        <v>56</v>
      </c>
      <c r="B3" s="3" t="s">
        <v>61</v>
      </c>
      <c r="C3" s="3" t="s">
        <v>62</v>
      </c>
      <c r="D3" s="3" t="s">
        <v>59</v>
      </c>
      <c r="E3" s="5" t="s">
        <v>46</v>
      </c>
    </row>
    <row r="4" spans="1:5" ht="28.8" x14ac:dyDescent="0.3">
      <c r="A4" s="3" t="s">
        <v>56</v>
      </c>
      <c r="B4" s="3" t="s">
        <v>63</v>
      </c>
      <c r="C4" s="3" t="s">
        <v>64</v>
      </c>
      <c r="D4" s="3" t="s">
        <v>59</v>
      </c>
      <c r="E4" s="5" t="s">
        <v>65</v>
      </c>
    </row>
    <row r="5" spans="1:5" ht="28.8" x14ac:dyDescent="0.3">
      <c r="A5" s="3" t="s">
        <v>66</v>
      </c>
      <c r="B5" s="3" t="s">
        <v>67</v>
      </c>
      <c r="C5" s="3" t="s">
        <v>68</v>
      </c>
      <c r="D5" s="3"/>
      <c r="E5" s="5" t="s">
        <v>69</v>
      </c>
    </row>
    <row r="6" spans="1:5" x14ac:dyDescent="0.3">
      <c r="A6" s="3" t="s">
        <v>66</v>
      </c>
      <c r="B6" s="3" t="s">
        <v>70</v>
      </c>
      <c r="C6" s="3" t="s">
        <v>71</v>
      </c>
      <c r="D6" s="3"/>
      <c r="E6" s="5" t="s">
        <v>72</v>
      </c>
    </row>
    <row r="7" spans="1:5" x14ac:dyDescent="0.3">
      <c r="A7" s="3" t="s">
        <v>66</v>
      </c>
      <c r="B7" s="3" t="s">
        <v>73</v>
      </c>
      <c r="C7" s="3" t="s">
        <v>71</v>
      </c>
      <c r="D7" s="3"/>
      <c r="E7" s="5" t="s">
        <v>74</v>
      </c>
    </row>
    <row r="8" spans="1:5" ht="43.2" x14ac:dyDescent="0.3">
      <c r="A8" s="3" t="s">
        <v>75</v>
      </c>
      <c r="B8" s="3" t="s">
        <v>76</v>
      </c>
      <c r="C8" s="3" t="s">
        <v>77</v>
      </c>
      <c r="D8" s="3" t="s">
        <v>59</v>
      </c>
      <c r="E8" s="5" t="s">
        <v>78</v>
      </c>
    </row>
    <row r="9" spans="1:5" ht="28.8" x14ac:dyDescent="0.3">
      <c r="A9" s="3" t="s">
        <v>75</v>
      </c>
      <c r="B9" s="3" t="s">
        <v>79</v>
      </c>
      <c r="C9" s="3" t="s">
        <v>80</v>
      </c>
      <c r="D9" s="3"/>
      <c r="E9" s="4"/>
    </row>
    <row r="10" spans="1:5" x14ac:dyDescent="0.3">
      <c r="A10" s="3" t="s">
        <v>75</v>
      </c>
      <c r="B10" s="3"/>
      <c r="C10" s="3"/>
      <c r="D10" s="3"/>
      <c r="E10" s="6"/>
    </row>
    <row r="11" spans="1:5" x14ac:dyDescent="0.3">
      <c r="A11" s="3"/>
      <c r="B11" s="3"/>
      <c r="C11" s="3"/>
      <c r="D11" s="3"/>
      <c r="E11" s="6"/>
    </row>
    <row r="12" spans="1:5" x14ac:dyDescent="0.3">
      <c r="A12" s="3"/>
      <c r="B12" s="3"/>
      <c r="C12" s="3"/>
      <c r="D12" s="3"/>
      <c r="E12" s="6"/>
    </row>
    <row r="13" spans="1:5" x14ac:dyDescent="0.3">
      <c r="A13" s="3"/>
      <c r="B13" s="3"/>
      <c r="C13" s="3"/>
      <c r="D13" s="3"/>
      <c r="E13" s="4"/>
    </row>
    <row r="14" spans="1:5" x14ac:dyDescent="0.3">
      <c r="A14" s="3"/>
      <c r="B14" s="3"/>
      <c r="C14" s="3"/>
      <c r="D14" s="3"/>
      <c r="E14" s="4"/>
    </row>
    <row r="15" spans="1:5" x14ac:dyDescent="0.3">
      <c r="A15" s="3"/>
      <c r="B15" s="3"/>
      <c r="C15" s="3"/>
      <c r="D15" s="3"/>
      <c r="E15" s="4"/>
    </row>
    <row r="16" spans="1:5" x14ac:dyDescent="0.3">
      <c r="A16" s="3"/>
      <c r="B16" s="3"/>
      <c r="C16" s="3"/>
      <c r="D16" s="3"/>
      <c r="E16" s="4"/>
    </row>
    <row r="17" spans="1:5" x14ac:dyDescent="0.3">
      <c r="A17" s="3"/>
      <c r="B17" s="3"/>
      <c r="C17" s="3"/>
      <c r="D17" s="3"/>
      <c r="E17" s="3"/>
    </row>
  </sheetData>
  <hyperlinks>
    <hyperlink ref="E3" r:id="rId1" xr:uid="{6EB8E4BD-B940-48E6-A6CE-4F11C1A8510E}"/>
    <hyperlink ref="E2" r:id="rId2" xr:uid="{F95A6B3D-7F5D-4E74-8C6D-B30290D6ED58}"/>
    <hyperlink ref="E7" r:id="rId3" xr:uid="{612DD86C-3891-43E3-B27A-AA6071C8917D}"/>
    <hyperlink ref="E6" r:id="rId4" xr:uid="{104C1F39-D7B8-4AE4-9031-EE6CE3C7F3A7}"/>
    <hyperlink ref="E5" r:id="rId5" xr:uid="{B27B79EC-18DD-4070-9630-609E711CCC3B}"/>
    <hyperlink ref="E8" r:id="rId6" xr:uid="{20F24860-A30F-4C37-9DE0-9FABA5DC318C}"/>
    <hyperlink ref="E4" r:id="rId7" display="https://ckm.openehr.org/ckm/archetypes/1013.1.169" xr:uid="{6DB1F6B2-19D1-473C-A11F-4BEC97E8171B}"/>
  </hyperlinks>
  <pageMargins left="0.7" right="0.7" top="0.75" bottom="0.75" header="0.3" footer="0.3"/>
  <tableParts count="1">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4CDAF-2A08-4BE8-92C3-F4E7A6F24E1B}">
  <dimension ref="A1:O56"/>
  <sheetViews>
    <sheetView tabSelected="1" topLeftCell="A11" zoomScale="70" zoomScaleNormal="70" workbookViewId="0">
      <selection activeCell="E27" sqref="E27"/>
    </sheetView>
  </sheetViews>
  <sheetFormatPr defaultRowHeight="14.4" x14ac:dyDescent="0.3"/>
  <cols>
    <col min="1" max="1" width="11.44140625" customWidth="1"/>
    <col min="2" max="2" width="29.33203125" customWidth="1"/>
    <col min="3" max="3" width="20.109375" customWidth="1"/>
    <col min="4" max="4" width="87.44140625" style="3" customWidth="1"/>
    <col min="5" max="5" width="26.109375" style="3" customWidth="1"/>
    <col min="6" max="6" width="18.6640625" customWidth="1"/>
    <col min="7" max="7" width="5.44140625" customWidth="1"/>
    <col min="8" max="8" width="32.44140625" customWidth="1"/>
    <col min="9" max="9" width="28.109375" customWidth="1"/>
    <col min="10" max="10" width="51.33203125" customWidth="1"/>
    <col min="11" max="11" width="38.5546875" bestFit="1" customWidth="1"/>
    <col min="12" max="13" width="38.5546875" customWidth="1"/>
    <col min="14" max="14" width="13.109375" bestFit="1" customWidth="1"/>
  </cols>
  <sheetData>
    <row r="1" spans="1:15" ht="99.75" customHeight="1" x14ac:dyDescent="0.3"/>
    <row r="2" spans="1:15" x14ac:dyDescent="0.3">
      <c r="A2" t="s">
        <v>81</v>
      </c>
      <c r="B2" t="s">
        <v>82</v>
      </c>
      <c r="C2" t="s">
        <v>83</v>
      </c>
      <c r="D2" s="10" t="s">
        <v>84</v>
      </c>
      <c r="E2" s="10" t="s">
        <v>85</v>
      </c>
      <c r="F2" s="2" t="s">
        <v>86</v>
      </c>
      <c r="G2" s="2" t="s">
        <v>87</v>
      </c>
      <c r="H2" s="2" t="s">
        <v>88</v>
      </c>
      <c r="I2" s="11" t="s">
        <v>89</v>
      </c>
      <c r="J2" s="11" t="s">
        <v>90</v>
      </c>
      <c r="K2" s="2" t="s">
        <v>91</v>
      </c>
      <c r="L2" s="2" t="s">
        <v>92</v>
      </c>
      <c r="M2" s="2" t="s">
        <v>93</v>
      </c>
      <c r="N2" s="2" t="s">
        <v>94</v>
      </c>
    </row>
    <row r="3" spans="1:15" ht="71.25" customHeight="1" x14ac:dyDescent="0.3">
      <c r="A3" s="1" t="s">
        <v>95</v>
      </c>
      <c r="B3" s="19" t="s">
        <v>96</v>
      </c>
      <c r="C3" s="19"/>
      <c r="D3" s="1" t="s">
        <v>97</v>
      </c>
      <c r="E3" s="1" t="s">
        <v>98</v>
      </c>
      <c r="F3" s="1" t="s">
        <v>99</v>
      </c>
      <c r="G3" s="1" t="s">
        <v>100</v>
      </c>
      <c r="H3" s="1" t="s">
        <v>101</v>
      </c>
    </row>
    <row r="4" spans="1:15" x14ac:dyDescent="0.3">
      <c r="A4" s="21" t="s">
        <v>102</v>
      </c>
      <c r="B4" s="28" t="s">
        <v>103</v>
      </c>
      <c r="C4" s="20"/>
      <c r="D4" s="21"/>
      <c r="E4" s="21"/>
      <c r="F4" s="21"/>
      <c r="G4" s="21"/>
      <c r="H4" s="21"/>
      <c r="I4" s="3" t="s">
        <v>104</v>
      </c>
      <c r="J4" s="3" t="s">
        <v>105</v>
      </c>
      <c r="K4" s="21" t="s">
        <v>106</v>
      </c>
      <c r="L4" s="21"/>
      <c r="M4" s="21"/>
      <c r="N4" s="21"/>
      <c r="O4" s="9"/>
    </row>
    <row r="5" spans="1:15" x14ac:dyDescent="0.3">
      <c r="A5" s="21" t="s">
        <v>107</v>
      </c>
      <c r="C5" s="29" t="s">
        <v>108</v>
      </c>
      <c r="D5" s="3" t="s">
        <v>109</v>
      </c>
      <c r="E5" s="3" t="s">
        <v>110</v>
      </c>
      <c r="F5" s="3" t="s">
        <v>111</v>
      </c>
      <c r="G5" s="3"/>
      <c r="H5" s="3" t="s">
        <v>112</v>
      </c>
      <c r="I5" s="3"/>
      <c r="J5" s="3"/>
      <c r="K5" s="3"/>
      <c r="L5" s="3"/>
      <c r="M5" s="3"/>
      <c r="N5" s="3"/>
    </row>
    <row r="6" spans="1:15" ht="28.8" x14ac:dyDescent="0.3">
      <c r="A6" s="21" t="s">
        <v>113</v>
      </c>
      <c r="B6" s="8"/>
      <c r="C6" s="8" t="s">
        <v>114</v>
      </c>
      <c r="D6" s="3" t="s">
        <v>115</v>
      </c>
      <c r="E6" s="3" t="s">
        <v>116</v>
      </c>
      <c r="F6" s="3" t="s">
        <v>111</v>
      </c>
      <c r="G6" s="3"/>
      <c r="H6" s="3" t="s">
        <v>117</v>
      </c>
      <c r="I6" s="3"/>
      <c r="J6" s="3"/>
      <c r="K6" s="3"/>
      <c r="L6" s="3"/>
      <c r="M6" s="3"/>
      <c r="N6" s="3"/>
    </row>
    <row r="7" spans="1:15" ht="28.8" x14ac:dyDescent="0.3">
      <c r="A7" s="21" t="s">
        <v>118</v>
      </c>
      <c r="B7" s="8"/>
      <c r="C7" s="8" t="s">
        <v>108</v>
      </c>
      <c r="D7" s="3" t="s">
        <v>119</v>
      </c>
      <c r="E7" s="3" t="s">
        <v>120</v>
      </c>
      <c r="F7" s="3" t="s">
        <v>111</v>
      </c>
      <c r="G7" s="3"/>
      <c r="H7" s="3" t="s">
        <v>61</v>
      </c>
      <c r="I7" s="3"/>
      <c r="J7" s="3"/>
      <c r="K7" s="3"/>
      <c r="L7" s="3"/>
      <c r="M7" s="3"/>
      <c r="N7" s="3"/>
    </row>
    <row r="8" spans="1:15" ht="43.2" x14ac:dyDescent="0.3">
      <c r="A8" s="9" t="s">
        <v>121</v>
      </c>
      <c r="B8" s="8" t="s">
        <v>122</v>
      </c>
      <c r="C8" s="8"/>
      <c r="F8" s="3"/>
      <c r="G8" s="3"/>
      <c r="H8" s="3"/>
      <c r="I8" s="3" t="s">
        <v>123</v>
      </c>
      <c r="J8" s="3" t="s">
        <v>124</v>
      </c>
      <c r="K8" s="3"/>
      <c r="L8" s="3"/>
      <c r="M8" s="3"/>
      <c r="N8" s="3"/>
    </row>
    <row r="9" spans="1:15" x14ac:dyDescent="0.3">
      <c r="A9" s="21" t="s">
        <v>125</v>
      </c>
      <c r="C9" s="10" t="s">
        <v>126</v>
      </c>
      <c r="D9" s="3" t="s">
        <v>127</v>
      </c>
      <c r="F9" s="3" t="s">
        <v>128</v>
      </c>
      <c r="G9" s="3"/>
      <c r="H9" s="3" t="s">
        <v>112</v>
      </c>
      <c r="K9" s="3" t="s">
        <v>106</v>
      </c>
      <c r="L9" s="3"/>
      <c r="M9" s="3"/>
      <c r="N9" s="3"/>
    </row>
    <row r="10" spans="1:15" ht="28.8" x14ac:dyDescent="0.3">
      <c r="A10" s="21" t="s">
        <v>129</v>
      </c>
      <c r="B10" s="3"/>
      <c r="C10" s="3" t="s">
        <v>130</v>
      </c>
      <c r="D10" s="3" t="s">
        <v>131</v>
      </c>
      <c r="F10" s="3" t="s">
        <v>132</v>
      </c>
      <c r="G10" s="3"/>
      <c r="H10" s="3" t="s">
        <v>133</v>
      </c>
      <c r="I10" s="3"/>
      <c r="J10" s="3"/>
      <c r="K10" s="3"/>
      <c r="L10" s="3"/>
      <c r="M10" s="3"/>
      <c r="N10" s="3"/>
    </row>
    <row r="11" spans="1:15" x14ac:dyDescent="0.3">
      <c r="A11" s="21" t="s">
        <v>134</v>
      </c>
      <c r="B11" s="10" t="s">
        <v>135</v>
      </c>
      <c r="C11" s="10"/>
      <c r="D11" s="3" t="s">
        <v>136</v>
      </c>
      <c r="F11" s="3" t="s">
        <v>137</v>
      </c>
      <c r="G11" s="3"/>
      <c r="H11" s="3" t="s">
        <v>112</v>
      </c>
      <c r="I11" s="3" t="s">
        <v>138</v>
      </c>
      <c r="J11" s="25" t="s">
        <v>139</v>
      </c>
      <c r="K11" s="3" t="s">
        <v>106</v>
      </c>
      <c r="L11" s="3"/>
      <c r="M11" s="3"/>
      <c r="N11" s="3"/>
    </row>
    <row r="12" spans="1:15" ht="28.8" x14ac:dyDescent="0.3">
      <c r="A12" s="21" t="s">
        <v>140</v>
      </c>
      <c r="B12" s="3" t="s">
        <v>141</v>
      </c>
      <c r="C12" s="3" t="s">
        <v>142</v>
      </c>
      <c r="D12" s="3" t="s">
        <v>143</v>
      </c>
      <c r="E12" s="3" t="s">
        <v>144</v>
      </c>
      <c r="F12" s="3"/>
      <c r="G12" s="3"/>
      <c r="H12" s="3" t="s">
        <v>112</v>
      </c>
      <c r="I12" s="3" t="s">
        <v>145</v>
      </c>
      <c r="J12" s="3" t="s">
        <v>146</v>
      </c>
      <c r="K12" s="3" t="s">
        <v>106</v>
      </c>
      <c r="L12" s="3"/>
      <c r="M12" s="3"/>
      <c r="N12" s="3"/>
    </row>
    <row r="13" spans="1:15" ht="43.2" x14ac:dyDescent="0.3">
      <c r="A13" s="21" t="s">
        <v>147</v>
      </c>
      <c r="B13" s="3" t="s">
        <v>148</v>
      </c>
      <c r="C13" s="3" t="s">
        <v>149</v>
      </c>
      <c r="D13" s="3" t="s">
        <v>150</v>
      </c>
      <c r="E13" s="3" t="s">
        <v>151</v>
      </c>
      <c r="F13" s="3"/>
      <c r="G13" s="3"/>
      <c r="H13" s="3" t="s">
        <v>112</v>
      </c>
      <c r="I13" s="3" t="s">
        <v>152</v>
      </c>
      <c r="J13" s="3" t="s">
        <v>146</v>
      </c>
      <c r="K13" s="3" t="s">
        <v>106</v>
      </c>
      <c r="L13" s="3"/>
      <c r="M13" s="3"/>
      <c r="N13" s="3"/>
    </row>
    <row r="14" spans="1:15" x14ac:dyDescent="0.3">
      <c r="A14" s="21" t="s">
        <v>153</v>
      </c>
      <c r="B14" s="3" t="s">
        <v>154</v>
      </c>
      <c r="C14" s="3" t="s">
        <v>155</v>
      </c>
      <c r="D14" s="3" t="s">
        <v>156</v>
      </c>
      <c r="E14" s="3" t="s">
        <v>157</v>
      </c>
      <c r="F14" s="3"/>
      <c r="G14" s="3"/>
      <c r="H14" s="3" t="s">
        <v>112</v>
      </c>
      <c r="I14" s="3" t="s">
        <v>106</v>
      </c>
      <c r="J14" s="3" t="s">
        <v>146</v>
      </c>
      <c r="K14" s="3" t="s">
        <v>106</v>
      </c>
      <c r="L14" s="3"/>
      <c r="M14" s="3"/>
      <c r="N14" s="3"/>
    </row>
    <row r="15" spans="1:15" x14ac:dyDescent="0.3">
      <c r="A15" s="9" t="s">
        <v>158</v>
      </c>
      <c r="B15" s="3" t="s">
        <v>159</v>
      </c>
      <c r="C15" s="3"/>
      <c r="F15" s="3"/>
      <c r="G15" s="3"/>
      <c r="H15" s="3"/>
      <c r="I15" s="3"/>
      <c r="J15" s="3"/>
      <c r="K15" s="3"/>
      <c r="L15" s="3"/>
      <c r="M15" s="3"/>
      <c r="N15" s="3"/>
    </row>
    <row r="16" spans="1:15" ht="28.8" x14ac:dyDescent="0.3">
      <c r="A16" s="21" t="s">
        <v>160</v>
      </c>
      <c r="B16" s="3" t="s">
        <v>355</v>
      </c>
      <c r="C16" s="10" t="s">
        <v>161</v>
      </c>
      <c r="D16" s="3" t="s">
        <v>162</v>
      </c>
      <c r="E16" s="3" t="s">
        <v>163</v>
      </c>
      <c r="F16" s="3" t="s">
        <v>164</v>
      </c>
      <c r="G16" s="3"/>
      <c r="H16" s="3" t="s">
        <v>112</v>
      </c>
      <c r="I16" s="3" t="s">
        <v>165</v>
      </c>
      <c r="J16" s="35" t="s">
        <v>166</v>
      </c>
      <c r="K16" s="3" t="s">
        <v>106</v>
      </c>
      <c r="L16" s="3"/>
      <c r="M16" s="3"/>
      <c r="N16" s="3"/>
    </row>
    <row r="17" spans="1:14" ht="57.6" x14ac:dyDescent="0.3">
      <c r="A17" s="21" t="s">
        <v>167</v>
      </c>
      <c r="B17" s="3" t="s">
        <v>168</v>
      </c>
      <c r="C17" s="3" t="s">
        <v>169</v>
      </c>
      <c r="D17" s="3" t="s">
        <v>170</v>
      </c>
      <c r="E17" s="3" t="s">
        <v>171</v>
      </c>
      <c r="F17" s="3" t="s">
        <v>111</v>
      </c>
      <c r="G17" s="3"/>
      <c r="H17" s="3" t="s">
        <v>133</v>
      </c>
      <c r="I17" s="3"/>
      <c r="J17" s="3"/>
      <c r="K17" s="3"/>
      <c r="L17" s="3"/>
      <c r="M17" s="3"/>
      <c r="N17" s="3"/>
    </row>
    <row r="18" spans="1:14" x14ac:dyDescent="0.3">
      <c r="A18" s="9" t="s">
        <v>172</v>
      </c>
      <c r="B18" s="3" t="s">
        <v>173</v>
      </c>
      <c r="C18" s="3"/>
      <c r="D18" s="3" t="s">
        <v>174</v>
      </c>
      <c r="F18" s="3"/>
      <c r="G18" s="3"/>
      <c r="H18" s="3"/>
      <c r="I18" s="3"/>
      <c r="J18" s="3"/>
      <c r="K18" s="3"/>
      <c r="L18" s="3"/>
      <c r="M18" s="3"/>
      <c r="N18" s="3"/>
    </row>
    <row r="19" spans="1:14" ht="72" x14ac:dyDescent="0.3">
      <c r="A19" s="21" t="s">
        <v>172</v>
      </c>
      <c r="C19" s="10" t="s">
        <v>175</v>
      </c>
      <c r="D19" s="3" t="s">
        <v>176</v>
      </c>
      <c r="E19" s="3" t="s">
        <v>177</v>
      </c>
      <c r="F19" s="3" t="s">
        <v>111</v>
      </c>
      <c r="G19" s="3"/>
      <c r="H19" s="3" t="s">
        <v>112</v>
      </c>
      <c r="I19" s="3" t="s">
        <v>178</v>
      </c>
      <c r="J19" s="3" t="s">
        <v>179</v>
      </c>
      <c r="K19" s="3" t="s">
        <v>180</v>
      </c>
      <c r="L19" s="3"/>
      <c r="M19" s="3"/>
      <c r="N19" s="3"/>
    </row>
    <row r="20" spans="1:14" ht="86.4" x14ac:dyDescent="0.3">
      <c r="A20" s="21" t="s">
        <v>181</v>
      </c>
      <c r="C20" s="3" t="s">
        <v>175</v>
      </c>
      <c r="D20" s="3" t="s">
        <v>182</v>
      </c>
      <c r="E20" s="10" t="s">
        <v>183</v>
      </c>
      <c r="F20" s="3" t="s">
        <v>111</v>
      </c>
      <c r="G20" s="3"/>
      <c r="H20" s="3" t="s">
        <v>184</v>
      </c>
      <c r="I20" s="3"/>
      <c r="J20" s="3"/>
      <c r="K20" s="3"/>
      <c r="L20" s="3"/>
      <c r="M20" s="3"/>
      <c r="N20" s="3"/>
    </row>
    <row r="21" spans="1:14" x14ac:dyDescent="0.3">
      <c r="A21" s="9" t="s">
        <v>185</v>
      </c>
      <c r="C21" s="3" t="s">
        <v>175</v>
      </c>
      <c r="F21" s="3"/>
      <c r="G21" s="3"/>
      <c r="H21" s="3"/>
      <c r="I21" s="3"/>
      <c r="J21" s="3"/>
      <c r="K21" s="3"/>
      <c r="L21" s="3"/>
      <c r="M21" s="3"/>
      <c r="N21" s="3"/>
    </row>
    <row r="22" spans="1:14" ht="57.6" x14ac:dyDescent="0.3">
      <c r="A22" s="21" t="s">
        <v>186</v>
      </c>
      <c r="B22" s="10" t="s">
        <v>187</v>
      </c>
      <c r="C22" s="10"/>
      <c r="D22" s="3" t="s">
        <v>188</v>
      </c>
      <c r="E22" s="3" t="s">
        <v>189</v>
      </c>
      <c r="F22" s="3" t="s">
        <v>164</v>
      </c>
      <c r="G22" s="3"/>
      <c r="H22" s="3" t="s">
        <v>112</v>
      </c>
      <c r="I22" s="3" t="s">
        <v>190</v>
      </c>
      <c r="J22" s="25" t="s">
        <v>191</v>
      </c>
      <c r="K22" s="3" t="s">
        <v>106</v>
      </c>
      <c r="L22" s="3"/>
      <c r="M22" s="3"/>
      <c r="N22" s="3"/>
    </row>
    <row r="23" spans="1:14" ht="43.2" x14ac:dyDescent="0.3">
      <c r="A23" s="21" t="s">
        <v>192</v>
      </c>
      <c r="B23" s="10" t="s">
        <v>193</v>
      </c>
      <c r="C23" s="10"/>
      <c r="D23" s="3" t="s">
        <v>194</v>
      </c>
      <c r="E23" s="3" t="s">
        <v>195</v>
      </c>
      <c r="F23" s="3" t="s">
        <v>164</v>
      </c>
      <c r="G23" s="3"/>
      <c r="H23" s="3" t="s">
        <v>112</v>
      </c>
      <c r="I23" s="3" t="s">
        <v>196</v>
      </c>
      <c r="J23" s="3" t="s">
        <v>197</v>
      </c>
      <c r="K23" s="3" t="s">
        <v>106</v>
      </c>
      <c r="L23" s="3"/>
      <c r="M23" s="3"/>
      <c r="N23" s="3"/>
    </row>
    <row r="24" spans="1:14" x14ac:dyDescent="0.3">
      <c r="A24" s="21" t="s">
        <v>198</v>
      </c>
      <c r="B24" s="24" t="s">
        <v>199</v>
      </c>
      <c r="C24" s="24"/>
      <c r="F24" s="3"/>
      <c r="G24" s="3"/>
      <c r="H24" s="3"/>
      <c r="I24" s="3" t="s">
        <v>200</v>
      </c>
      <c r="J24" s="3" t="s">
        <v>201</v>
      </c>
      <c r="K24" s="3" t="s">
        <v>202</v>
      </c>
      <c r="L24" s="3"/>
      <c r="M24" s="3"/>
      <c r="N24" s="3"/>
    </row>
    <row r="25" spans="1:14" ht="47.25" customHeight="1" x14ac:dyDescent="0.3">
      <c r="A25" s="21" t="s">
        <v>203</v>
      </c>
      <c r="B25" s="3"/>
      <c r="C25" s="3" t="s">
        <v>204</v>
      </c>
      <c r="D25" s="3" t="s">
        <v>205</v>
      </c>
      <c r="E25" s="3" t="s">
        <v>206</v>
      </c>
      <c r="F25" s="3" t="s">
        <v>111</v>
      </c>
      <c r="G25" s="3"/>
      <c r="H25" s="3" t="s">
        <v>112</v>
      </c>
      <c r="I25" s="3"/>
      <c r="N25" s="3"/>
    </row>
    <row r="26" spans="1:14" ht="27.75" customHeight="1" x14ac:dyDescent="0.3">
      <c r="A26" s="21" t="s">
        <v>207</v>
      </c>
      <c r="B26" s="3"/>
      <c r="C26" s="3" t="s">
        <v>208</v>
      </c>
      <c r="D26" s="3" t="s">
        <v>209</v>
      </c>
      <c r="E26" s="3" t="s">
        <v>210</v>
      </c>
      <c r="F26" s="3" t="s">
        <v>111</v>
      </c>
      <c r="G26" s="3"/>
      <c r="H26" s="3" t="s">
        <v>117</v>
      </c>
      <c r="I26" s="3"/>
      <c r="J26" s="3"/>
      <c r="K26" s="3"/>
      <c r="L26" s="3"/>
      <c r="M26" s="3"/>
      <c r="N26" s="3"/>
    </row>
    <row r="27" spans="1:14" ht="32.25" customHeight="1" x14ac:dyDescent="0.3">
      <c r="A27" s="21" t="s">
        <v>211</v>
      </c>
      <c r="B27" s="3"/>
      <c r="C27" s="3" t="s">
        <v>212</v>
      </c>
      <c r="D27" s="3" t="s">
        <v>213</v>
      </c>
      <c r="E27" s="3" t="s">
        <v>214</v>
      </c>
      <c r="F27" s="3" t="s">
        <v>111</v>
      </c>
      <c r="G27" s="3"/>
      <c r="H27" s="3" t="s">
        <v>215</v>
      </c>
      <c r="I27" s="3"/>
      <c r="J27" s="3"/>
      <c r="K27" s="3"/>
      <c r="L27" s="3"/>
      <c r="M27" s="3"/>
      <c r="N27" s="3"/>
    </row>
    <row r="28" spans="1:14" ht="30" customHeight="1" x14ac:dyDescent="0.3">
      <c r="A28" s="21" t="s">
        <v>216</v>
      </c>
      <c r="B28" s="3"/>
      <c r="C28" s="3" t="s">
        <v>217</v>
      </c>
      <c r="D28" s="3" t="s">
        <v>218</v>
      </c>
      <c r="E28" s="3" t="s">
        <v>219</v>
      </c>
      <c r="F28" s="3" t="s">
        <v>164</v>
      </c>
      <c r="G28" s="3"/>
      <c r="H28" s="3" t="s">
        <v>133</v>
      </c>
      <c r="I28" s="3"/>
      <c r="J28" s="3"/>
      <c r="K28" s="3"/>
      <c r="L28" s="3"/>
      <c r="M28" s="3"/>
      <c r="N28" s="3"/>
    </row>
    <row r="29" spans="1:14" ht="37.5" customHeight="1" x14ac:dyDescent="0.3">
      <c r="A29" s="9" t="s">
        <v>220</v>
      </c>
      <c r="B29" s="10" t="s">
        <v>221</v>
      </c>
      <c r="C29" s="10"/>
      <c r="D29" s="3" t="s">
        <v>222</v>
      </c>
      <c r="F29" s="3"/>
      <c r="G29" s="3" t="s">
        <v>223</v>
      </c>
      <c r="H29" s="3"/>
      <c r="I29" s="3" t="s">
        <v>224</v>
      </c>
      <c r="J29" s="3" t="s">
        <v>225</v>
      </c>
      <c r="K29" s="3" t="s">
        <v>226</v>
      </c>
      <c r="L29" s="3"/>
      <c r="M29" s="3"/>
      <c r="N29" s="3"/>
    </row>
    <row r="30" spans="1:14" x14ac:dyDescent="0.3">
      <c r="A30" s="21" t="s">
        <v>227</v>
      </c>
      <c r="B30" s="3"/>
      <c r="C30" s="3" t="s">
        <v>228</v>
      </c>
      <c r="D30" s="3" t="s">
        <v>229</v>
      </c>
      <c r="E30" s="3" t="s">
        <v>163</v>
      </c>
      <c r="F30" s="3" t="s">
        <v>164</v>
      </c>
      <c r="G30" s="3"/>
      <c r="H30" s="3" t="s">
        <v>112</v>
      </c>
      <c r="N30" s="3"/>
    </row>
    <row r="31" spans="1:14" ht="57.6" x14ac:dyDescent="0.3">
      <c r="A31" s="21" t="s">
        <v>230</v>
      </c>
      <c r="B31" s="3"/>
      <c r="C31" s="3" t="s">
        <v>231</v>
      </c>
      <c r="D31" s="3" t="s">
        <v>232</v>
      </c>
      <c r="E31" s="3" t="s">
        <v>171</v>
      </c>
      <c r="F31" s="3" t="s">
        <v>164</v>
      </c>
      <c r="G31" s="3"/>
      <c r="H31" s="3" t="s">
        <v>233</v>
      </c>
      <c r="I31" s="3"/>
      <c r="J31" s="34"/>
      <c r="K31" s="3"/>
      <c r="L31" s="3"/>
      <c r="M31" s="3"/>
      <c r="N31" s="3"/>
    </row>
    <row r="32" spans="1:14" ht="43.2" x14ac:dyDescent="0.3">
      <c r="A32" s="9" t="s">
        <v>234</v>
      </c>
      <c r="B32" s="3"/>
      <c r="C32" s="3" t="s">
        <v>235</v>
      </c>
      <c r="D32" s="3" t="s">
        <v>236</v>
      </c>
      <c r="E32" s="3" t="s">
        <v>163</v>
      </c>
      <c r="F32" s="3" t="s">
        <v>111</v>
      </c>
      <c r="G32" s="3"/>
      <c r="H32" s="3" t="s">
        <v>133</v>
      </c>
      <c r="I32" s="3"/>
      <c r="J32" s="3"/>
      <c r="K32" s="3"/>
      <c r="L32" s="3"/>
      <c r="M32" s="3"/>
      <c r="N32" s="3"/>
    </row>
    <row r="33" spans="1:14" ht="28.8" x14ac:dyDescent="0.3">
      <c r="A33" s="9" t="s">
        <v>237</v>
      </c>
      <c r="B33" s="10" t="s">
        <v>238</v>
      </c>
      <c r="C33" s="10"/>
      <c r="D33" s="3" t="s">
        <v>239</v>
      </c>
      <c r="F33" s="3"/>
      <c r="G33" s="3" t="s">
        <v>240</v>
      </c>
      <c r="H33" s="3"/>
      <c r="I33" s="3" t="s">
        <v>241</v>
      </c>
      <c r="J33" s="3" t="s">
        <v>242</v>
      </c>
      <c r="K33" s="3"/>
      <c r="L33" s="3"/>
      <c r="M33" s="3"/>
      <c r="N33" s="3"/>
    </row>
    <row r="34" spans="1:14" x14ac:dyDescent="0.3">
      <c r="A34" s="21" t="s">
        <v>243</v>
      </c>
      <c r="B34" s="3"/>
      <c r="C34" s="3" t="s">
        <v>244</v>
      </c>
      <c r="D34" s="3" t="s">
        <v>245</v>
      </c>
      <c r="E34" s="3" t="s">
        <v>163</v>
      </c>
      <c r="F34" s="3" t="s">
        <v>164</v>
      </c>
      <c r="G34" s="3"/>
      <c r="H34" s="3" t="s">
        <v>112</v>
      </c>
      <c r="K34" s="3" t="s">
        <v>246</v>
      </c>
      <c r="L34" s="3"/>
      <c r="M34" s="3"/>
      <c r="N34" s="3"/>
    </row>
    <row r="35" spans="1:14" ht="43.2" x14ac:dyDescent="0.3">
      <c r="A35" s="21" t="s">
        <v>247</v>
      </c>
      <c r="B35" s="3"/>
      <c r="C35" s="3" t="s">
        <v>248</v>
      </c>
      <c r="D35" s="3" t="s">
        <v>249</v>
      </c>
      <c r="E35" s="3" t="s">
        <v>171</v>
      </c>
      <c r="F35" s="3" t="s">
        <v>164</v>
      </c>
      <c r="G35" s="3"/>
      <c r="H35" s="3" t="s">
        <v>250</v>
      </c>
      <c r="I35" s="3"/>
      <c r="J35" s="3"/>
      <c r="K35" s="3"/>
      <c r="L35" s="3"/>
      <c r="M35" s="3"/>
      <c r="N35" s="3"/>
    </row>
    <row r="36" spans="1:14" ht="31.95" customHeight="1" x14ac:dyDescent="0.3">
      <c r="A36" s="9" t="s">
        <v>251</v>
      </c>
      <c r="B36" s="3"/>
      <c r="C36" s="38" t="s">
        <v>252</v>
      </c>
      <c r="D36" s="27" t="s">
        <v>253</v>
      </c>
      <c r="F36" s="3"/>
      <c r="G36" s="3"/>
      <c r="H36" s="3" t="s">
        <v>133</v>
      </c>
      <c r="I36" s="3"/>
      <c r="J36" s="3"/>
      <c r="K36" s="3"/>
      <c r="L36" s="3"/>
      <c r="M36" s="3"/>
      <c r="N36" s="3"/>
    </row>
    <row r="37" spans="1:14" ht="43.2" x14ac:dyDescent="0.3">
      <c r="A37" s="21" t="s">
        <v>254</v>
      </c>
      <c r="B37" s="10" t="s">
        <v>255</v>
      </c>
      <c r="C37" s="10"/>
      <c r="D37" s="3" t="s">
        <v>256</v>
      </c>
      <c r="E37" s="3" t="s">
        <v>189</v>
      </c>
      <c r="F37" s="3" t="s">
        <v>128</v>
      </c>
      <c r="G37" s="3"/>
      <c r="H37" s="3" t="s">
        <v>112</v>
      </c>
      <c r="I37" s="3" t="s">
        <v>257</v>
      </c>
      <c r="J37" s="22" t="s">
        <v>258</v>
      </c>
      <c r="K37" s="3"/>
      <c r="L37" s="3"/>
      <c r="M37" s="3"/>
      <c r="N37" s="3"/>
    </row>
    <row r="38" spans="1:14" ht="28.8" x14ac:dyDescent="0.3">
      <c r="A38" s="21" t="s">
        <v>259</v>
      </c>
      <c r="B38" s="10" t="s">
        <v>260</v>
      </c>
      <c r="C38" s="10"/>
      <c r="D38" s="3" t="s">
        <v>261</v>
      </c>
      <c r="E38" s="3" t="s">
        <v>262</v>
      </c>
      <c r="F38" s="3" t="s">
        <v>164</v>
      </c>
      <c r="G38" s="3"/>
      <c r="H38" s="3" t="s">
        <v>112</v>
      </c>
      <c r="I38" s="36" t="s">
        <v>263</v>
      </c>
      <c r="J38" s="36" t="s">
        <v>264</v>
      </c>
      <c r="K38" s="3"/>
      <c r="L38" s="3"/>
      <c r="M38" s="3"/>
      <c r="N38" s="3"/>
    </row>
    <row r="39" spans="1:14" ht="37.5" customHeight="1" x14ac:dyDescent="0.3">
      <c r="A39" s="21" t="s">
        <v>265</v>
      </c>
      <c r="B39" s="10" t="s">
        <v>266</v>
      </c>
      <c r="C39" s="10"/>
      <c r="D39" s="3" t="s">
        <v>267</v>
      </c>
      <c r="E39" s="3" t="s">
        <v>268</v>
      </c>
      <c r="F39" s="3" t="s">
        <v>164</v>
      </c>
      <c r="G39" s="3" t="s">
        <v>269</v>
      </c>
      <c r="H39" s="3" t="s">
        <v>112</v>
      </c>
      <c r="I39" s="3" t="s">
        <v>270</v>
      </c>
      <c r="J39" s="3" t="s">
        <v>271</v>
      </c>
      <c r="K39" s="3"/>
      <c r="L39" s="3"/>
      <c r="M39" s="3"/>
      <c r="N39" s="3"/>
    </row>
    <row r="40" spans="1:14" ht="28.8" x14ac:dyDescent="0.3">
      <c r="A40" s="21" t="s">
        <v>272</v>
      </c>
      <c r="B40" s="10" t="s">
        <v>273</v>
      </c>
      <c r="C40" s="10"/>
      <c r="D40" s="3" t="s">
        <v>274</v>
      </c>
      <c r="E40" s="3" t="s">
        <v>275</v>
      </c>
      <c r="F40" s="3" t="s">
        <v>128</v>
      </c>
      <c r="G40" s="3"/>
      <c r="H40" s="3" t="s">
        <v>112</v>
      </c>
      <c r="I40" s="3" t="s">
        <v>276</v>
      </c>
      <c r="J40" s="3" t="s">
        <v>277</v>
      </c>
      <c r="K40" s="3"/>
      <c r="L40" s="3"/>
      <c r="M40" s="3"/>
      <c r="N40" s="3"/>
    </row>
    <row r="41" spans="1:14" ht="28.8" x14ac:dyDescent="0.3">
      <c r="A41" s="21" t="s">
        <v>278</v>
      </c>
      <c r="B41" s="3"/>
      <c r="C41" s="3" t="s">
        <v>279</v>
      </c>
      <c r="D41" s="3" t="s">
        <v>280</v>
      </c>
      <c r="F41" s="3" t="s">
        <v>164</v>
      </c>
      <c r="G41" s="3"/>
      <c r="H41" s="3" t="s">
        <v>233</v>
      </c>
      <c r="I41" s="3"/>
      <c r="J41" s="3"/>
      <c r="K41" s="3"/>
      <c r="L41" s="3"/>
      <c r="M41" s="3"/>
      <c r="N41" s="3"/>
    </row>
    <row r="42" spans="1:14" ht="28.8" x14ac:dyDescent="0.3">
      <c r="A42" s="21" t="s">
        <v>281</v>
      </c>
      <c r="B42" s="3"/>
      <c r="C42" s="3" t="s">
        <v>282</v>
      </c>
      <c r="D42" s="3" t="s">
        <v>283</v>
      </c>
      <c r="F42" s="3" t="s">
        <v>164</v>
      </c>
      <c r="G42" s="3"/>
      <c r="H42" s="3" t="s">
        <v>233</v>
      </c>
      <c r="I42" s="3"/>
      <c r="J42" s="3"/>
      <c r="K42" s="3"/>
      <c r="L42" s="3"/>
      <c r="M42" s="3"/>
      <c r="N42" s="3"/>
    </row>
    <row r="43" spans="1:14" ht="43.2" x14ac:dyDescent="0.3">
      <c r="A43" s="21" t="s">
        <v>284</v>
      </c>
      <c r="B43" s="10" t="s">
        <v>285</v>
      </c>
      <c r="C43" s="10"/>
      <c r="D43" s="3" t="s">
        <v>286</v>
      </c>
      <c r="E43" s="3" t="s">
        <v>287</v>
      </c>
      <c r="F43" s="3" t="s">
        <v>128</v>
      </c>
      <c r="G43" s="3"/>
      <c r="H43" s="3" t="s">
        <v>112</v>
      </c>
      <c r="I43" s="3" t="s">
        <v>288</v>
      </c>
      <c r="J43" s="26" t="s">
        <v>289</v>
      </c>
      <c r="K43" s="3"/>
      <c r="L43" s="3"/>
      <c r="M43" s="3"/>
      <c r="N43" s="3"/>
    </row>
    <row r="44" spans="1:14" ht="28.8" x14ac:dyDescent="0.3">
      <c r="A44" s="9" t="s">
        <v>290</v>
      </c>
      <c r="B44" s="10" t="s">
        <v>291</v>
      </c>
      <c r="C44" s="10"/>
      <c r="F44" s="3"/>
      <c r="G44" s="3"/>
      <c r="H44" s="3"/>
      <c r="I44" s="3"/>
      <c r="J44" s="26"/>
      <c r="K44" s="3"/>
      <c r="L44" s="3"/>
      <c r="M44" s="3"/>
      <c r="N44" s="3"/>
    </row>
    <row r="45" spans="1:14" ht="28.8" x14ac:dyDescent="0.3">
      <c r="A45" s="21" t="s">
        <v>292</v>
      </c>
      <c r="B45" s="10"/>
      <c r="C45" s="22" t="s">
        <v>293</v>
      </c>
      <c r="D45" s="3" t="s">
        <v>294</v>
      </c>
      <c r="E45" s="3" t="s">
        <v>295</v>
      </c>
      <c r="F45" s="3" t="s">
        <v>164</v>
      </c>
      <c r="G45" s="3"/>
      <c r="H45" s="3" t="s">
        <v>112</v>
      </c>
      <c r="I45" s="3" t="s">
        <v>296</v>
      </c>
      <c r="J45" s="22" t="s">
        <v>297</v>
      </c>
      <c r="K45" s="27" t="s">
        <v>298</v>
      </c>
      <c r="L45" s="27"/>
      <c r="M45" s="27"/>
      <c r="N45" s="3"/>
    </row>
    <row r="46" spans="1:14" x14ac:dyDescent="0.3">
      <c r="A46" s="9" t="s">
        <v>299</v>
      </c>
      <c r="B46" s="3"/>
      <c r="C46" s="22" t="s">
        <v>300</v>
      </c>
      <c r="D46" s="3" t="s">
        <v>301</v>
      </c>
      <c r="E46" s="10" t="s">
        <v>302</v>
      </c>
      <c r="F46" s="3" t="s">
        <v>164</v>
      </c>
      <c r="G46" s="3"/>
      <c r="H46" s="3" t="s">
        <v>233</v>
      </c>
      <c r="I46" s="3"/>
      <c r="J46" s="3"/>
      <c r="K46" s="27"/>
      <c r="L46" s="17"/>
      <c r="M46" s="17"/>
      <c r="N46" s="3"/>
    </row>
    <row r="47" spans="1:14" ht="28.8" x14ac:dyDescent="0.3">
      <c r="A47" s="21" t="s">
        <v>303</v>
      </c>
      <c r="B47" s="10" t="s">
        <v>304</v>
      </c>
      <c r="C47" s="10"/>
      <c r="D47" s="3" t="s">
        <v>305</v>
      </c>
      <c r="E47" s="3" t="s">
        <v>306</v>
      </c>
      <c r="F47" s="3" t="s">
        <v>128</v>
      </c>
      <c r="G47" s="3"/>
      <c r="H47" s="3" t="s">
        <v>112</v>
      </c>
      <c r="I47" s="36" t="s">
        <v>307</v>
      </c>
      <c r="J47" s="22" t="s">
        <v>308</v>
      </c>
      <c r="K47" s="3"/>
      <c r="L47" s="3"/>
      <c r="M47" s="3"/>
      <c r="N47" s="3"/>
    </row>
    <row r="48" spans="1:14" ht="28.8" x14ac:dyDescent="0.3">
      <c r="A48" s="21" t="s">
        <v>309</v>
      </c>
      <c r="B48" s="10" t="s">
        <v>310</v>
      </c>
      <c r="C48" s="10"/>
      <c r="D48" s="3" t="s">
        <v>311</v>
      </c>
      <c r="E48" s="3" t="s">
        <v>312</v>
      </c>
      <c r="F48" s="3" t="s">
        <v>313</v>
      </c>
      <c r="G48" s="3"/>
      <c r="H48" s="3" t="s">
        <v>112</v>
      </c>
      <c r="I48" s="3" t="s">
        <v>314</v>
      </c>
      <c r="J48" s="3" t="s">
        <v>315</v>
      </c>
      <c r="K48" s="3"/>
      <c r="L48" s="3"/>
      <c r="M48" s="3"/>
      <c r="N48" s="3"/>
    </row>
    <row r="49" spans="1:14" ht="27" customHeight="1" x14ac:dyDescent="0.3">
      <c r="A49" s="21" t="s">
        <v>316</v>
      </c>
      <c r="B49" s="30" t="s">
        <v>53</v>
      </c>
      <c r="C49" s="30"/>
      <c r="D49" s="3" t="s">
        <v>317</v>
      </c>
      <c r="E49" s="3" t="s">
        <v>262</v>
      </c>
      <c r="F49" s="3" t="s">
        <v>164</v>
      </c>
      <c r="G49" s="3"/>
      <c r="H49" s="3" t="s">
        <v>233</v>
      </c>
      <c r="I49" s="3" t="s">
        <v>318</v>
      </c>
      <c r="J49" s="3" t="s">
        <v>319</v>
      </c>
      <c r="K49" s="3"/>
      <c r="L49" s="3"/>
      <c r="M49" s="3"/>
      <c r="N49" s="3"/>
    </row>
    <row r="50" spans="1:14" ht="30.75" customHeight="1" x14ac:dyDescent="0.3">
      <c r="A50" s="9" t="s">
        <v>320</v>
      </c>
      <c r="B50" t="s">
        <v>321</v>
      </c>
      <c r="D50" s="23" t="s">
        <v>322</v>
      </c>
      <c r="E50" s="3" t="s">
        <v>323</v>
      </c>
      <c r="H50" t="s">
        <v>324</v>
      </c>
      <c r="I50" t="s">
        <v>325</v>
      </c>
      <c r="J50" t="s">
        <v>326</v>
      </c>
    </row>
    <row r="54" spans="1:14" x14ac:dyDescent="0.3">
      <c r="B54" s="31"/>
      <c r="C54" s="31"/>
    </row>
    <row r="55" spans="1:14" ht="15" thickBot="1" x14ac:dyDescent="0.35">
      <c r="B55" s="32"/>
      <c r="C55" s="33"/>
    </row>
    <row r="56" spans="1:14" ht="15" thickTop="1" x14ac:dyDescent="0.3">
      <c r="B56" s="31"/>
      <c r="C56" s="31"/>
    </row>
  </sheetData>
  <phoneticPr fontId="5" type="noConversion"/>
  <pageMargins left="0.7" right="0.7" top="0.75" bottom="0.75" header="0.3" footer="0.3"/>
  <pageSetup paperSize="9" orientation="portrait" r:id="rId1"/>
  <drawing r:id="rId2"/>
  <legacyDrawing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AFAA3-99F7-4E93-9580-DCAE2B14D938}">
  <dimension ref="A1:G2"/>
  <sheetViews>
    <sheetView workbookViewId="0">
      <selection activeCell="G7" sqref="G7"/>
    </sheetView>
  </sheetViews>
  <sheetFormatPr defaultRowHeight="14.4" x14ac:dyDescent="0.3"/>
  <cols>
    <col min="1" max="1" width="19.109375" customWidth="1"/>
    <col min="2" max="2" width="18.5546875" customWidth="1"/>
    <col min="4" max="4" width="15.109375" customWidth="1"/>
    <col min="5" max="5" width="16.6640625" customWidth="1"/>
    <col min="6" max="6" width="16.44140625" customWidth="1"/>
    <col min="7" max="7" width="41.5546875" customWidth="1"/>
  </cols>
  <sheetData>
    <row r="1" spans="1:7" ht="195.75" customHeight="1" x14ac:dyDescent="0.3">
      <c r="A1" s="2" t="s">
        <v>327</v>
      </c>
      <c r="B1" s="2" t="s">
        <v>328</v>
      </c>
      <c r="C1" s="2" t="s">
        <v>82</v>
      </c>
      <c r="D1" s="2" t="s">
        <v>84</v>
      </c>
      <c r="E1" s="2" t="s">
        <v>85</v>
      </c>
      <c r="F1" s="2" t="s">
        <v>86</v>
      </c>
      <c r="G1" s="2" t="s">
        <v>88</v>
      </c>
    </row>
    <row r="2" spans="1:7" x14ac:dyDescent="0.3">
      <c r="A2" s="1" t="s">
        <v>329</v>
      </c>
      <c r="B2" s="1" t="s">
        <v>330</v>
      </c>
      <c r="C2" s="1" t="s">
        <v>331</v>
      </c>
      <c r="D2" s="1" t="s">
        <v>97</v>
      </c>
      <c r="E2" s="1" t="s">
        <v>98</v>
      </c>
      <c r="F2" s="1" t="s">
        <v>99</v>
      </c>
      <c r="G2" s="1" t="s">
        <v>101</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89EBC-5098-4697-9724-F190D24E1C3D}">
  <dimension ref="A1:A2"/>
  <sheetViews>
    <sheetView workbookViewId="0">
      <selection activeCell="E27" sqref="E27"/>
    </sheetView>
  </sheetViews>
  <sheetFormatPr defaultRowHeight="14.4" x14ac:dyDescent="0.3"/>
  <sheetData>
    <row r="1" spans="1:1" ht="111" customHeight="1" x14ac:dyDescent="0.3"/>
    <row r="2" spans="1:1" x14ac:dyDescent="0.3">
      <c r="A2" t="s">
        <v>332</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62C35-A590-498D-8635-16DE3DC0B82A}">
  <dimension ref="A1:B10"/>
  <sheetViews>
    <sheetView workbookViewId="0">
      <selection activeCell="B2" sqref="B2"/>
    </sheetView>
  </sheetViews>
  <sheetFormatPr defaultRowHeight="14.4" x14ac:dyDescent="0.3"/>
  <cols>
    <col min="1" max="1" width="36.5546875" customWidth="1"/>
    <col min="2" max="2" width="52" customWidth="1"/>
  </cols>
  <sheetData>
    <row r="1" spans="1:2" x14ac:dyDescent="0.3">
      <c r="A1" t="s">
        <v>333</v>
      </c>
      <c r="B1" t="s">
        <v>53</v>
      </c>
    </row>
    <row r="2" spans="1:2" ht="28.8" x14ac:dyDescent="0.3">
      <c r="A2" t="s">
        <v>334</v>
      </c>
      <c r="B2" s="3" t="s">
        <v>335</v>
      </c>
    </row>
    <row r="10" spans="1:2" x14ac:dyDescent="0.3">
      <c r="A10" t="s">
        <v>336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8E4E8-143C-4C64-99FB-1306F2338EFB}">
  <dimension ref="A2:J8"/>
  <sheetViews>
    <sheetView topLeftCell="C1" workbookViewId="0">
      <selection activeCell="E9" sqref="E9"/>
    </sheetView>
  </sheetViews>
  <sheetFormatPr defaultRowHeight="14.4" x14ac:dyDescent="0.3"/>
  <cols>
    <col min="2" max="2" width="27.6640625" style="3" customWidth="1"/>
    <col min="3" max="3" width="27.5546875" style="3" customWidth="1"/>
    <col min="4" max="4" width="60.109375" style="3" customWidth="1"/>
    <col min="5" max="5" width="47.6640625" style="3" customWidth="1"/>
  </cols>
  <sheetData>
    <row r="2" spans="1:10" x14ac:dyDescent="0.3">
      <c r="B2" s="15" t="s">
        <v>337</v>
      </c>
      <c r="C2" s="12"/>
      <c r="D2" s="12"/>
      <c r="E2" s="12"/>
    </row>
    <row r="3" spans="1:10" x14ac:dyDescent="0.3">
      <c r="B3" s="16" t="s">
        <v>338</v>
      </c>
      <c r="C3" s="16" t="s">
        <v>75</v>
      </c>
      <c r="D3" s="16" t="s">
        <v>339</v>
      </c>
      <c r="E3" s="13" t="s">
        <v>340</v>
      </c>
    </row>
    <row r="4" spans="1:10" ht="156" customHeight="1" x14ac:dyDescent="0.3">
      <c r="B4" s="14" t="s">
        <v>341</v>
      </c>
      <c r="C4" s="14" t="s">
        <v>342</v>
      </c>
      <c r="D4" s="14" t="s">
        <v>343</v>
      </c>
      <c r="E4" s="14"/>
    </row>
    <row r="5" spans="1:10" ht="182.25" customHeight="1" x14ac:dyDescent="0.3">
      <c r="B5" s="14" t="s">
        <v>344</v>
      </c>
      <c r="C5" s="14" t="s">
        <v>345</v>
      </c>
      <c r="D5" s="17" t="s">
        <v>346</v>
      </c>
      <c r="E5" s="14"/>
    </row>
    <row r="6" spans="1:10" ht="45.75" customHeight="1" x14ac:dyDescent="0.3">
      <c r="A6" s="21"/>
      <c r="B6" s="3" t="s">
        <v>304</v>
      </c>
      <c r="C6" s="3" t="s">
        <v>347</v>
      </c>
      <c r="D6" s="22" t="s">
        <v>348</v>
      </c>
      <c r="F6" s="3"/>
      <c r="G6" s="3"/>
      <c r="H6" s="3"/>
      <c r="I6" s="3"/>
      <c r="J6" s="3"/>
    </row>
    <row r="7" spans="1:10" ht="28.8" x14ac:dyDescent="0.3">
      <c r="B7" s="14" t="s">
        <v>349</v>
      </c>
      <c r="C7" s="14" t="s">
        <v>347</v>
      </c>
      <c r="D7" s="14" t="s">
        <v>350</v>
      </c>
      <c r="E7" s="14"/>
    </row>
    <row r="8" spans="1:10" ht="28.8" x14ac:dyDescent="0.3">
      <c r="B8" s="14" t="s">
        <v>353</v>
      </c>
      <c r="C8" s="14"/>
      <c r="D8" s="39" t="s">
        <v>352</v>
      </c>
      <c r="E8" s="14" t="s">
        <v>354</v>
      </c>
    </row>
  </sheetData>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Props1.xml><?xml version="1.0" encoding="utf-8"?>
<ds:datastoreItem xmlns:ds="http://schemas.openxmlformats.org/officeDocument/2006/customXml" ds:itemID="{148267B0-4CF5-48A7-B543-CDE45AF0A8FC}">
  <ds:schemaRefs>
    <ds:schemaRef ds:uri="http://schemas.microsoft.com/sharepoint/v3/contenttype/forms"/>
  </ds:schemaRefs>
</ds:datastoreItem>
</file>

<file path=customXml/itemProps2.xml><?xml version="1.0" encoding="utf-8"?>
<ds:datastoreItem xmlns:ds="http://schemas.openxmlformats.org/officeDocument/2006/customXml" ds:itemID="{14B9AD58-A794-48C7-986D-80A9DB4B320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18a1b9-ddba-4244-9634-64732d0cb267"/>
    <ds:schemaRef ds:uri="06294a2e-6f87-4144-83b8-94a4d04d14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E3A9028-3436-4B29-A420-9ED5B8A085B1}">
  <ds:schemaRefs>
    <ds:schemaRef ds:uri="http://schemas.microsoft.com/office/2006/metadata/properties"/>
    <ds:schemaRef ds:uri="http://schemas.microsoft.com/office/infopath/2007/PartnerControls"/>
    <ds:schemaRef ds:uri="bb18a1b9-ddba-4244-9634-64732d0cb267"/>
    <ds:schemaRef ds:uri="06294a2e-6f87-4144-83b8-94a4d04d144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8</vt:i4>
      </vt:variant>
    </vt:vector>
  </HeadingPairs>
  <TitlesOfParts>
    <vt:vector size="8" baseType="lpstr">
      <vt:lpstr>Uitleg</vt:lpstr>
      <vt:lpstr>Concept</vt:lpstr>
      <vt:lpstr>Bronnen</vt:lpstr>
      <vt:lpstr>Informatiebehoefte</vt:lpstr>
      <vt:lpstr>Ongedekte informatiebehoefte</vt:lpstr>
      <vt:lpstr>Overwegingen voor de toekomst</vt:lpstr>
      <vt:lpstr>Basismodel</vt:lpstr>
      <vt:lpstr>Ter discussie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Pieter Edelman</dc:creator>
  <cp:keywords/>
  <dc:description/>
  <cp:lastModifiedBy>Chevy Susanto</cp:lastModifiedBy>
  <cp:revision/>
  <dcterms:created xsi:type="dcterms:W3CDTF">2026-03-12T13:25:44Z</dcterms:created>
  <dcterms:modified xsi:type="dcterms:W3CDTF">2026-07-29T13:38:25Z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