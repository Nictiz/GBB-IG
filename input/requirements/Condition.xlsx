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Condition/"/>
    </mc:Choice>
  </mc:AlternateContent>
  <xr:revisionPtr revIDLastSave="1810" documentId="8_{14C11024-DAA1-4BC8-A0C0-1702803526E6}" xr6:coauthVersionLast="47" xr6:coauthVersionMax="47" xr10:uidLastSave="{8FA77EFC-A93B-4D05-99C9-4A0BE8DE9C03}"/>
  <bookViews>
    <workbookView xWindow="-108" yWindow="-108" windowWidth="23256" windowHeight="13896" firstSheet="2" activeTab="3" xr2:uid="{71855D19-E937-4D4D-85D2-5BCEBB780255}"/>
  </bookViews>
  <sheets>
    <sheet name="Uitleg" sheetId="5" r:id="rId1"/>
    <sheet name="Concept" sheetId="2"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tc={FC56F738-FB65-495B-9B48-E0F47216F010}</author>
    <author>tc={903FD87C-9891-4AE1-9361-7224FCD06B01}</author>
    <author>tc={B3533A99-0CB6-4646-9417-20A66FEFD573}</author>
    <author>tc={20B2A504-5F6F-4996-9921-E2104F9548D8}</author>
    <author>tc={DC3A08E9-01DD-48D1-B7F5-357810DE5428}</author>
    <author>tc={035A58F6-6A6B-4788-883F-2110C3BA07ED}</author>
    <author>tc={00D6E7CD-1959-4C9A-8BC1-A1E323A0102F}</author>
    <author>tc={065B39A6-9843-49BF-88E8-0C2BF95F8D00}</author>
  </authors>
  <commentList>
    <comment ref="A3" authorId="0" shapeId="0" xr:uid="{FC56F738-FB65-495B-9B48-E0F47216F010}">
      <text>
        <t>[Opmerkingenthread]
U kunt deze opmerkingenthread lezen in uw versie van Excel. Eventuele wijzigingen aan de thread gaan echter verloren als het bestand wordt geopend in een nieuwere versie van Excel. Meer informatie: https://go.microsoft.com/fwlink/?linkid=870924
Opmerking:
    AllergyInt heeft een andere naam conventie voor ‘Nummer’. Controleren welke juist is.</t>
      </text>
    </comment>
    <comment ref="J21" authorId="1" shapeId="0" xr:uid="{903FD87C-9891-4AE1-9361-7224FCD06B01}">
      <text>
        <t>[Opmerkingenthread]
U kunt deze opmerkingenthread lezen in uw versie van Excel. Eventuele wijzigingen aan de thread gaan echter verloren als het bestand wordt geopend in een nieuwere versie van Excel. Meer informatie: https://go.microsoft.com/fwlink/?linkid=870924
Opmerking:
     active
 inactive
 resolved
 in remission
 evolution status - initial, interim/working, final; temporal status - current, past; episodicity status - first, new, ongoing; admission status - admission, discharge; or priority status - primary, secondary.</t>
      </text>
    </comment>
    <comment ref="K21" authorId="2" shapeId="0" xr:uid="{B3533A99-0CB6-4646-9417-20A66FEFD573}">
      <text>
        <t>[Opmerkingenthread]
U kunt deze opmerkingenthread lezen in uw versie van Excel. Eventuele wijzigingen aan de thread gaan echter verloren als het bestand wordt geopend in een nieuwere versie van Excel. Meer informatie: https://go.microsoft.com/fwlink/?linkid=870924
Opmerking:
    1. Actief
2. Inactief
Kortere waardelijst</t>
      </text>
    </comment>
    <comment ref="K26" authorId="3" shapeId="0" xr:uid="{20B2A504-5F6F-4996-9921-E2104F9548D8}">
      <text>
        <t>[Opmerkingenthread]
U kunt deze opmerkingenthread lezen in uw versie van Excel. Eventuele wijzigingen aan de thread gaan echter verloren als het bestand wordt geopend in een nieuwere versie van Excel. Meer informatie: https://go.microsoft.com/fwlink/?linkid=870924
Opmerking:
    Wel in metadata!</t>
      </text>
    </comment>
    <comment ref="E29" authorId="4" shapeId="0" xr:uid="{DC3A08E9-01DD-48D1-B7F5-357810DE5428}">
      <text>
        <t>[Opmerkingenthread]
U kunt deze opmerkingenthread lezen in uw versie van Excel. Eventuele wijzigingen aan de thread gaan echter verloren als het bestand wordt geopend in een nieuwere versie van Excel. Meer informatie: https://go.microsoft.com/fwlink/?linkid=870924
Opmerking:
    Onduidelijk welke waardelijst gehandeerd moet worden</t>
      </text>
    </comment>
    <comment ref="B31" authorId="5" shapeId="0" xr:uid="{035A58F6-6A6B-4788-883F-2110C3BA07ED}">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C31" authorId="6" shapeId="0" xr:uid="{00D6E7CD-1959-4C9A-8BC1-A1E323A0102F}">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C39" authorId="7" shapeId="0" xr:uid="{065B39A6-9843-49BF-88E8-0C2BF95F8D00}">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List>
</comments>
</file>

<file path=xl/sharedStrings.xml><?xml version="1.0" encoding="utf-8"?>
<sst xmlns="http://schemas.openxmlformats.org/spreadsheetml/2006/main" count="493" uniqueCount="385">
  <si>
    <t>Veld</t>
  </si>
  <si>
    <t>Beschrijving</t>
  </si>
  <si>
    <t>Invulling (zelf beschreven op basis van openEHR, FHIR R4 en EHDS LIM)</t>
  </si>
  <si>
    <t>Bronnen</t>
  </si>
  <si>
    <t>a.d.h.v. keuze FHIR als basismodel</t>
  </si>
  <si>
    <t>a.d.h.v. keuze OpenEHR als basismodel</t>
  </si>
  <si>
    <t>Conceptbeschrijving</t>
  </si>
  <si>
    <t>[De definitie of beschrijving van het concept.]</t>
  </si>
  <si>
    <t>Een conditie beschrijft een klinisch relevante gezondheidstoestand, diagnose, probleem, aandoening of andere gezondheidsituatie die betrekking heeft op de gezondheid en/of het welzijn van de patiënt. Deze toestand kan benoemd zijn door de patiënt, gerelateerd persoon of door de zorgverlener. De gezondheidstoestand kan aanleiding geven tot behandeling, monitoring of vervolgbeleid.</t>
  </si>
  <si>
    <t>Samengesteld uit EHDS LIM EHDSCondition v1.0.0; FHIR R4 Condition; openEHR problem/Diagnosis v1.5.0; zib Probleem 2020</t>
  </si>
  <si>
    <t>Een klinische aandoening, probleem, diagnose of andere gebeurtenis, situatie, kwestie of klinisch concept dat aanleiding geeft tot zorg.</t>
  </si>
  <si>
    <t xml:space="preserve">Details over een specifieke gezondheidstoestand, letsel, handicap of ander probleem dat van invloed is op het fysieke, mentale en/of sociale welzijn van een individu.
Opmerking: In de praktijk is het niet eenvoudig om een ​​duidelijke scheiding te maken tussen de omvang van een probleem en een diagnose. Voor klinische documentatie met dit archetype worden probleem en diagnose beschouwd als een continuüm, waarbij toenemende mate van detail en ondersteunend bewijs doorgaans meer gewicht toekennen aan het label 'diagnose'.
</t>
  </si>
  <si>
    <t>EDHS LIM: Model for a clinical condition, problem, diagnosis, or other event, situation, or issue that has risen to a level of concern.
OpenEHR: 
ChatGPT samenvatting van FHIR R4 resource: Model voor klinisch relevante gezondheidstoestand van een patiënt die door een zorgverlener zijn beoordeeld of vastgesteld. Dit kan een diagnose, gezondheidsprobleem, zorgvraag of andere gezondheidssituatie zijn die aanleiding geeft tot behandeling, monitoring of vervolgbeleid.
Zib Probleem 2020: Een probleem beschrijft een toestand met betrekking tot de gezondheid en/of het welzijn van een individu. Deze toestand kan zijn benoemd door de betroffene (de patiënt) zelf (een klacht), of door zijn of haar zorgverlener (onder andere een diagnose). De toestand kan aanleiding zijn voor diagnostisch of therapeutisch beleid.
Een probleem omvat allerlei soorten medische of verpleegkundige gegevens, die een gezondheidsprobleem representeren. Een probleem kan verschillende typen gezondheidsproblemen representeren: symptoom, klacht, diagnose, functionele beperking, complicatie. 
OpenEHR: Details over een specifieke gezondheidstoestand, letsel, handicap of ander probleem dat van invloed is op het fysieke, mentale en/of sociale welzijn van een persoon.</t>
  </si>
  <si>
    <t>Doel</t>
  </si>
  <si>
    <t>[De doelen en redenen om het concept vast te leggen en/of uit te wisselen.]</t>
  </si>
  <si>
    <t xml:space="preserve">Een overzicht van gezondheidstoestanden/diagnoses/aandoeningen van de patient. </t>
  </si>
  <si>
    <t>Gedestileerd uit de conceptbeschrijving</t>
  </si>
  <si>
    <t>Het doel van het concept is het eenduidig vastleggen en uitwisselen van een klinisch relevante diagnose, aandoening, gezondheidstoestand of ander zorgpunt van een patiënt. Dit ondersteunt nader onderzoek, behandeling, monitoring en overdracht van zorg, ook wanneer het gaat om een niet-negatieve gezondheidstoestand, zoals zwangerschap, of om een toestand die het gevolg is van een eerdere ingreep.</t>
  </si>
  <si>
    <t>Voor het vastleggen van details over een enkel, geïdentificeerd gezondheidsprobleem of diagnose.
De beoogde reikwijdte van een gezondheidsprobleem wordt in de context van klinische documentatie bewust ruim gehouden, zodat alle reële of vermeende zorgen die het welzijn van een persoon in welke mate dan ook negatief kunnen beïnvloeden, kunnen worden vastgelegd. Een gezondheidsprobleem kan worden geïdentificeerd door de persoon zelf, een mantelzorger of een zorgverlener. Een diagnose wordt echter daarnaast gedefinieerd op basis van objectieve klinische criteria en wordt doorgaans alleen vastgesteld door een zorgverlener.</t>
  </si>
  <si>
    <t>Gebruiksscenario(’s)</t>
  </si>
  <si>
    <t>[Geeft aan in welke context(en) het concept wordt gebruikt. Geef voorbeelden van gebruik in informatiestandaarden.]</t>
  </si>
  <si>
    <t>Een overzicht van gezondheidstoestanden/diagnoses/aandoeningen van de patient. Het wordt gebruikt in de informatiestandaarden BgZ-MSZ, Eerstelijnszorg, .. 
Conditie kan worden gebruikt om het gezondheidsprobleem in een zorgepisode te duiden.</t>
  </si>
  <si>
    <t>Afkomstig uit informatiestandaard BgZ-MSZ, informatiestandaard Acute Zorg</t>
  </si>
  <si>
    <t>Het kan worden gebruikt om informatie vast te leggen over een ziekte of aandoening die is vastgesteld op basis van klinische redenering over pathologische en pathofysiologische bevindingen (diagnose); over gezondheidsproblemen of -situaties die een zorgverlener als schadelijk of potentieel schadelijk beschouwt en die nader onderzoek en behandeling vereisen (probleem); of over andere gezondheidsproblemen of -situaties die mogelijk voortdurende monitoring en/of behandeling behoeven (gezondheidsprobleem/-zorgpunt).
De 'Condition'-resource kan worden gebruikt om een ​​bepaalde gezondheidstoestand van een patiënt vast te leggen die doorgaans niet als een negatieve uitkomst wordt beschouwd, zoals zwangerschap. De 'Condition'-resource kan ook worden gebruikt om een ​​aandoening of toestand vast te leggen die volgt op een ingreep, zoals de status van 'onderbeenamputatiepatiënt' na een amputatieprocedure.
Spoedsamenvatting 2.2.0, bij het opstellen van de episodes en problemen 
BgZ-MSZ: bij klachten en diagnoses
eOverdracht: problemen
Eerstelijnszorg: problemen</t>
  </si>
  <si>
    <t>Dit archetype kan in veel contexten worden gebruikt. Bijvoorbeeld om een ​​probleem of een klinische diagnose vast te leggen tijdens een consult; om een ​​permanente probleemlijst aan te vullen; of om een ​​samenvattende verklaring op te nemen in een ontslagbrief.</t>
  </si>
  <si>
    <t>Representatie</t>
  </si>
  <si>
    <t>[Beschrijf hier wat er voor de dossiervorming belangrijk is rondom de levenscyclus en instantiaties van het concept.]</t>
  </si>
  <si>
    <t>Een gezondheidsstoestand heeft een start en kan een einddatum hebben, maar hoeft niet. Het kan gevlagt zijn om in de probleemlijst van de patient aanwezig te blijven, ook al is de gezondheidsstoestand opgeheven.</t>
  </si>
  <si>
    <t>Gedestileerd uit de data-elementen van de EHDS LIM EHDSCondition v1.0.0</t>
  </si>
  <si>
    <t>Een instantiatie beschrijft één klinisch relevante conditie bij een patiënt. Veranderingen in status of zekerheid worden in dezelfde registratie bijgewerkt; voor een andere conditie of afzonderlijke episode wordt een nieuwe instantiatie gemaakt. Beëindigde of weerlegde condities blijven als historie beschikbaar.</t>
  </si>
  <si>
    <t>kijken hoe openEHR erover denkt met evoluerende diagnose van de patient.</t>
  </si>
  <si>
    <t>Alias(sen)</t>
  </si>
  <si>
    <t>[Alle bekende synoniemen voor het concept.]</t>
  </si>
  <si>
    <t>episode, diagnose, aandoening, probleem, klacht(als het geen onderdeel is van de aandoening), functionele beperking, complicatie, symptoom(als het geen onderdeel is van de aandoening)</t>
  </si>
  <si>
    <t>Juist gebruik</t>
  </si>
  <si>
    <t>[Beschrijf hier waarvoor het concept wél bedoeld is].</t>
  </si>
  <si>
    <t>Voor het vastleggen van diagnoses, probleem, en andere situaties van de patiënt die geen negatieve uitkomst hebben. zoals een zwangerschap.</t>
  </si>
  <si>
    <t>Het concept is bedoeld voor het vastleggen van een klinisch relevante aandoening, diagnose, probleem, gezondheidstoestand, risico of zorgpunt dat beoordeling, behandeling of monitoring vereist.</t>
  </si>
  <si>
    <t>Te gebruiken voor het vastleggen van details over een enkel, geïdentificeerd gezondheidsprobleem of diagnose.
Duidelijke definities die onderscheid maken tussen een 'probleem' en een 'diagnose' zijn in de praktijk vrijwel onmogelijk - we kunnen niet betrouwbaar vaststellen wanneer een probleem als een diagnose moet worden beschouwd. 
Voor klinische documentatie met dit archetype worden probleem en diagnose beschouwd als een continuüm, waarbij toenemende mate van detail en ondersteunend bewijsmateriaal doorgaans meer gewicht in de schaal legt voor de benaming 'diagnose'. In dit archetype is het niet nodig om de aandoening te classificeren als een 'probleem' of 'diagnose'.</t>
  </si>
  <si>
    <t>Onjuist gebruik</t>
  </si>
  <si>
    <t>[Beschrijf hier waar het concept niet voor bedoeld is, en geef waar mogelijk aan welk concept er wel geschikt voor is.]</t>
  </si>
  <si>
    <t>Het wordt niet gebruikt om de functionele status, bijvoorbeeld vermogen tot ADL, vast te leggen. Het wordt niet gebruikt voor symptomen die je observeert of uitvraagt, met andere woorden wanneer een symptoom bijdraagt aan de aandoening, dient het niet opgenomen te worden als condition.</t>
  </si>
  <si>
    <t>Het concept is niet bedoeld voor losse metingen, bevindingen of kortdurende symptomen; gebruik hiervoor Observation. Het is ook niet bedoeld om de uitgevoerde ingreep zelf vast te leggen; gebruik daarvoor Procedure. Voor allergieën en intoleranties die klinische beslisondersteuning moeten activeren, is AllergyIntolerance het aangewezen concept. Een blijvende toestand na een ingreep kan wel als conditie worden vastgelegd.</t>
  </si>
  <si>
    <t>Referenties</t>
  </si>
  <si>
    <t>[Relevante bronstandaarden of informatiebronnen die het ontwerp en de scope van het concept hebben beïnvloed.]</t>
  </si>
  <si>
    <t>EHDS LIM EHDSCondition v1.0.0; FHIR R4 resource Condition; openEHR Problem/Diagnosis 1.5.0</t>
  </si>
  <si>
    <t>Condition - FHIR v4.0.1</t>
  </si>
  <si>
    <t>ART-DECOR-id</t>
  </si>
  <si>
    <t>[Het id op ART-DECOR van het afsprakenmodel, bv 2.16.840.1.113883.2.4.3.11.60.153.4.12/2026-06-04T00:00:00]</t>
  </si>
  <si>
    <t>Keuze Basismodel</t>
  </si>
  <si>
    <t>Concept-sheet is opgemaakt met spelregel: https://nictiz.atlassian.net/browse/DAGIM-72</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</si>
  <si>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</si>
  <si>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</si>
  <si>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</si>
  <si>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</si>
  <si>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</si>
  <si>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</si>
  <si>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</si>
  <si>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</si>
  <si>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</si>
  <si>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FHIR R4 resource Condition</t>
  </si>
  <si>
    <t>Volgens DAGIM-19 is het nodig dat alle verplichte elementen van de FHIR resource opgenomen worden als informatiebehoefte.</t>
  </si>
  <si>
    <t xml:space="preserve">openEHR archetype Problem/Diagnosis </t>
  </si>
  <si>
    <t>Volgens DAGIM-21 l is het nodig dat alle verplichte elementen van de openEHR archetype opgenomen worden als informatiebehoefte.</t>
  </si>
  <si>
    <t>Clinical Knowledge Manager</t>
  </si>
  <si>
    <t>Zib</t>
  </si>
  <si>
    <t>Zib Diagnose v2.0 2024</t>
  </si>
  <si>
    <t>Geen baseline. Onduidelijk of deze meegenomen moet worden. Is het nodig om AandoeningOfGesteldheid en Symptoom uit 2024 ook mee te nemen?</t>
  </si>
  <si>
    <t>Diagnose-v2.0(2024NL) - Zorginformatiebouwstenen</t>
  </si>
  <si>
    <t>Zib Probleem v4.4 2020</t>
  </si>
  <si>
    <t>Baseline</t>
  </si>
  <si>
    <t>Probleem-v4.4(2020NL) - Zorginformatiebouwstenen</t>
  </si>
  <si>
    <t>Zib Probleem V4.1 2017</t>
  </si>
  <si>
    <t>Probleem-v4.1(2017NL) - Zorginformatiebouwstenen</t>
  </si>
  <si>
    <t>Informatiestandaard</t>
  </si>
  <si>
    <t>Informatiestandaard BgZ-MSZ 2.0.2</t>
  </si>
  <si>
    <t>Volgens de DoD Q3 moet dit opgenomen worden in deze iteratie van de GBB. De informatiebehoefte is identiek aan zib 2017 op één element na. Bij dit element staat de informatiestandaard als herkomst beschreven.</t>
  </si>
  <si>
    <t>Dataset (voor transactie) 2.16.840.1.113883.2.4.3.11.60.42.4.42 - Sturen</t>
  </si>
  <si>
    <t>Informatiestandaard Acute Zorg 2.2.0 (Spoedsamenvatting usecase)</t>
  </si>
  <si>
    <t>Volgens de DoD Q3 moet dit opgenomen worden in deze iteratie van de GBB</t>
  </si>
  <si>
    <t>Nummer</t>
  </si>
  <si>
    <t>Naam</t>
  </si>
  <si>
    <t>data-element</t>
  </si>
  <si>
    <t>Omschrijving</t>
  </si>
  <si>
    <t>Variabiliteit</t>
  </si>
  <si>
    <t>Aanwezigheid</t>
  </si>
  <si>
    <t>Verleden/heden/toekomst</t>
  </si>
  <si>
    <t>Herkomst</t>
  </si>
  <si>
    <t>Komt het in FHIR R4 voor?</t>
  </si>
  <si>
    <t>Komt het in openEHR voor?</t>
  </si>
  <si>
    <t>Komt voor in ZIBProbleem-v4.4? (2020)</t>
  </si>
  <si>
    <t>Komt voor in ZIBProbleem? (2017)</t>
  </si>
  <si>
    <t>Komt voor in ZIBProbleem? (2024)</t>
  </si>
  <si>
    <t>Opmerking</t>
  </si>
  <si>
    <t>[Nummer van de informatie-requirement start bij 1, sub behoeftes kunnen worden gemodelleerd met X.X of X.X.X]</t>
  </si>
  <si>
    <t>[Naam waaraan de informatie-requirement te herkennen is]</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</si>
  <si>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</si>
  <si>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</si>
  <si>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</si>
  <si>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of de informatie relevant is voor gebruik van het model voor zaken in het verleden, in het heden, en/of de toekomst. Vaak is slechts een van deze situaties in scope van het bouwblok, maar niet altijd]</t>
  </si>
  <si>
    <t>[Geef aan waar de behoefte vandaan komt, bv. een specifieke informatiestandaard of bepaalde zorgrichtlijn]</t>
  </si>
  <si>
    <t>CON-1</t>
  </si>
  <si>
    <t>Patient</t>
  </si>
  <si>
    <t>Ja (subject)</t>
  </si>
  <si>
    <t>Ja (Reference model: subject of care) 1:1</t>
  </si>
  <si>
    <t>Nee</t>
  </si>
  <si>
    <t>CON-1.1</t>
  </si>
  <si>
    <t>Subject</t>
  </si>
  <si>
    <t>Verwijzing naar Patient</t>
  </si>
  <si>
    <t>1..1</t>
  </si>
  <si>
    <t>EHDS LIM EHDSCondition 1.0.0</t>
  </si>
  <si>
    <t>CON-1.2</t>
  </si>
  <si>
    <t>Subject of care</t>
  </si>
  <si>
    <t>Vewijzing naar Subject of Care</t>
  </si>
  <si>
    <t>openEHR Problem/Diagnosis 1.7.4</t>
  </si>
  <si>
    <t>CON-1.3</t>
  </si>
  <si>
    <t>CON-2</t>
  </si>
  <si>
    <t>Ja (identifier)</t>
  </si>
  <si>
    <t>Ja (architype.id) maar komt niet voor in de archetypen, maar komt naar voren bij het opslaan (originating_system_item_ids : DV_IDENTIFIER). is 0..*</t>
  </si>
  <si>
    <t>CON-2.1</t>
  </si>
  <si>
    <t>header.identifier</t>
  </si>
  <si>
    <t>Business identifier van het object</t>
  </si>
  <si>
    <t>0..*</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</si>
  <si>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</si>
  <si>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</si>
  <si>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</si>
  <si>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</si>
  <si>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</si>
  <si>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</si>
  <si>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0..* Choice of types</t>
  </si>
  <si>
    <t>Ja (RM:other_participations)</t>
  </si>
  <si>
    <t>CON-3.1</t>
  </si>
  <si>
    <t>zorgverlener als auteur</t>
  </si>
  <si>
    <t>authorEHDSHealthProfessional</t>
  </si>
  <si>
    <t>Verwijziging naar EHDSHealthProfessional</t>
  </si>
  <si>
    <t>Ja (recorder = Practitioner of PractitionerRole)</t>
  </si>
  <si>
    <t>ja</t>
  </si>
  <si>
    <t>CON-3.2</t>
  </si>
  <si>
    <t>organisatie als auteur</t>
  </si>
  <si>
    <t>authorEHDSOrganisation</t>
  </si>
  <si>
    <t>Verwijziging naar EHDSOrganization</t>
  </si>
  <si>
    <t>Ja (recorder.PracticionerRole.Organisation)</t>
  </si>
  <si>
    <t>CON-3.3</t>
  </si>
  <si>
    <t>apparaat als auteur</t>
  </si>
  <si>
    <t>authorEHDSDevice</t>
  </si>
  <si>
    <t>Verwijziging naar EHDSDevice</t>
  </si>
  <si>
    <t>CON-4</t>
  </si>
  <si>
    <t>CON-4.1</t>
  </si>
  <si>
    <t>header.date</t>
  </si>
  <si>
    <t>DatumTijd</t>
  </si>
  <si>
    <t>0..1</t>
  </si>
  <si>
    <t>Ja (recordedDate)</t>
  </si>
  <si>
    <t xml:space="preserve">ja. Opmerking Wouter bij AllergieIntolerantie: metadata komt in elk archetype voor. </t>
  </si>
  <si>
    <t>CON-4.2</t>
  </si>
  <si>
    <t>Time Stamp</t>
  </si>
  <si>
    <t>CON-5</t>
  </si>
  <si>
    <t>Status</t>
  </si>
  <si>
    <t xml:space="preserve">Status van het object </t>
  </si>
  <si>
    <t>status</t>
  </si>
  <si>
    <t>Ja (clinicalStatus)</t>
  </si>
  <si>
    <t>Ja  0..1 (status)</t>
  </si>
  <si>
    <t>Ja, ProbleemStatus</t>
  </si>
  <si>
    <t>CON-5.1</t>
  </si>
  <si>
    <t>De status is actief of open, danwel gesloten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</si>
  <si>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Spoedsamenvatting 2.2.0; Zib 2017; zib 2020</t>
  </si>
  <si>
    <t>CON-5.2</t>
  </si>
  <si>
    <t>CON-6</t>
  </si>
  <si>
    <t>De bron van de informatie over de conditie, bijvoorbeeld de patiënt zelf</t>
  </si>
  <si>
    <t xml:space="preserve">Gecodeerde concept </t>
  </si>
  <si>
    <t>Ja (Reference model: Information Provider) 0..1 Dit kan de patiënt zijn; een vertegenwoordiger van de patiënt, bijvoorbeeld een ouder of voogd; de behandelaar of een apparaat/software.</t>
  </si>
  <si>
    <t>CON-7</t>
  </si>
  <si>
    <t>De taal waarin het object is geschreven</t>
  </si>
  <si>
    <t>Waardelijst BCP 47</t>
  </si>
  <si>
    <t>Ja (language)</t>
  </si>
  <si>
    <r>
      <t xml:space="preserve">Ja
</t>
    </r>
    <r>
      <rPr>
        <b/>
        <sz val="11"/>
        <color theme="1"/>
        <rFont val="Aptos Narrow"/>
        <family val="2"/>
        <scheme val="minor"/>
      </rPr>
      <t xml:space="preserve">Opmerking Wouter bij AllergieIntolerantie: metadata komt in elk archetype voor. </t>
    </r>
  </si>
  <si>
    <t>CON-8</t>
  </si>
  <si>
    <t>Naam van de conditie</t>
  </si>
  <si>
    <t>Ja (code, 0..1)</t>
  </si>
  <si>
    <t>Ja (Problem / Diagnosis name)</t>
  </si>
  <si>
    <t>Ja, ProbleemNaam</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</si>
  <si>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</si>
  <si>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</si>
  <si>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</si>
  <si>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</si>
  <si>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</si>
  <si>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</si>
  <si>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</si>
  <si>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</si>
  <si>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</si>
  <si>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</si>
  <si>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</si>
  <si>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</si>
  <si>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</si>
  <si>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CON-8.4</t>
  </si>
  <si>
    <t>zorgepisodetitel</t>
  </si>
  <si>
    <t>Beschrijving van het gezondheidsprobleem. Dit kan een door de zorgverlener geformuleerde tekst zijn, danwel de tekstuele omschrijving van de ICPC code.</t>
  </si>
  <si>
    <t>Waardelijst (ICPC) + tekstuele omschrijving</t>
  </si>
  <si>
    <t>CON-9</t>
  </si>
  <si>
    <t>Begin datum van de conditie</t>
  </si>
  <si>
    <t>De datum en evt. tijd waarop de conditie is begonnen</t>
  </si>
  <si>
    <t>niet toekomst</t>
  </si>
  <si>
    <t>Ja (onsetDateTime)</t>
  </si>
  <si>
    <t>ja 0..1 Date/time of onset</t>
  </si>
  <si>
    <t>Ja, ProbleemBeginDatum</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</si>
  <si>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</si>
  <si>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</si>
  <si>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</si>
  <si>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</si>
  <si>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</si>
  <si>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t>
  </si>
  <si>
    <t>Zib 2017; zib 2020</t>
  </si>
  <si>
    <t>CON-9.3</t>
  </si>
  <si>
    <t>CON-10</t>
  </si>
  <si>
    <t>Eind datum van de conditie</t>
  </si>
  <si>
    <t>De datum en evt. tijd waarop de conditie is afgelopen</t>
  </si>
  <si>
    <t>verleden</t>
  </si>
  <si>
    <t>Ja (abatementDateTime)</t>
  </si>
  <si>
    <t>ja 0..1 Date/time of resolution</t>
  </si>
  <si>
    <t>CON-10.1</t>
  </si>
  <si>
    <t>endDate</t>
  </si>
  <si>
    <t>De datum of geschatte datum waarop de conditie in remissie ging of verdween</t>
  </si>
  <si>
    <t>Ja, ProbleemEindDatum</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</si>
  <si>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</si>
  <si>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</si>
  <si>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</si>
  <si>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Usecase Spoedsamenvatting van Acute Zorg</t>
  </si>
  <si>
    <t>CON-10.3</t>
  </si>
  <si>
    <t>zorgepisode.Einddatum</t>
  </si>
  <si>
    <t>Indien de episode als periode gedefinieerd wordt, moet de einddatum van de afsluiting van de zorgepisode worden ingegegeven.</t>
  </si>
  <si>
    <t>CON-11</t>
  </si>
  <si>
    <t>category</t>
  </si>
  <si>
    <r>
      <rPr>
        <sz val="11"/>
        <color rgb="FF000000"/>
        <rFont val="Aptos Narrow"/>
        <scheme val="minor"/>
      </rPr>
      <t>Categorie(ën) van het probleem (bijv. POA - aanwezig bij opname, HAC - in het ziekenhuis opgelopen aandoening, en andere categorisaties)</t>
    </r>
    <r>
      <rPr>
        <sz val="11"/>
        <color rgb="FFFF0000"/>
        <rFont val="Aptos Narrow"/>
        <scheme val="minor"/>
      </rPr>
      <t>. -&gt; WAAROM WIL JE DIT VELD HEBBEN - Bouchra stuurt een link van EHN guidelines?</t>
    </r>
  </si>
  <si>
    <t>Ja (category)</t>
  </si>
  <si>
    <t>nee. Wouter vragen of dat via een cluster kan??</t>
  </si>
  <si>
    <t>CON-12</t>
  </si>
  <si>
    <t>resolutionCircumstances</t>
  </si>
  <si>
    <t>Beschrijft de reden waarom de status van het probleem is veranderd van actueel naar inactief (bijv. chirurgische ingreep, medische behandeling, enz.).</t>
  </si>
  <si>
    <t>String</t>
  </si>
  <si>
    <t>Ja? (note.text)</t>
  </si>
  <si>
    <t>Ja? Comment</t>
  </si>
  <si>
    <t>CON-13</t>
  </si>
  <si>
    <t>severity</t>
  </si>
  <si>
    <t>Een subjectieve beoordeling van de ernst van de aandoening, zoals vastgesteld door de arts.</t>
  </si>
  <si>
    <t>Waardelijst (preferred): HL7 Condition/Diagnosis Severity; SNOMED CT</t>
  </si>
  <si>
    <t>heden</t>
  </si>
  <si>
    <t>Ja  (Severity)</t>
  </si>
  <si>
    <t>Ja Severity (optional)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</si>
  <si>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</si>
  <si>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</si>
  <si>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</si>
  <si>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</si>
  <si>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</si>
  <si>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</si>
  <si>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</si>
  <si>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</si>
  <si>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</si>
  <si>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</si>
  <si>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</si>
  <si>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</si>
  <si>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</si>
  <si>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</si>
  <si>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</si>
  <si>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</si>
  <si>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</si>
  <si>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</si>
  <si>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CON-16</t>
  </si>
  <si>
    <t>Status van verificatie van de conditie</t>
  </si>
  <si>
    <t>CON-16.1</t>
  </si>
  <si>
    <t>diagnosisAssertionStatus</t>
  </si>
  <si>
    <t>Een bewering over de zekerheid die aan een diagnose is verbonden. Diagnostisch en/of klinisch bewijs van een aandoening</t>
  </si>
  <si>
    <t>Waardelijst (preferred): HL7 Condition Verification Status</t>
  </si>
  <si>
    <t>Ja (verificationStatus)</t>
  </si>
  <si>
    <t>Ja? DiagnosticCertainty? proberbly, confermed, supsected</t>
  </si>
  <si>
    <t>VerificatieStatus ZIB!</t>
  </si>
  <si>
    <t>CON-P16.2</t>
  </si>
  <si>
    <t>VerificatieStatus</t>
  </si>
  <si>
    <t>Klinische status van het probleem of de diagnose.</t>
  </si>
  <si>
    <t xml:space="preserve">VerificatieStatusCodelijst </t>
  </si>
  <si>
    <t>CON-17</t>
  </si>
  <si>
    <t>specialistContact</t>
  </si>
  <si>
    <t>Een zorgverlener die specifiek betrokken is bij het probleem, als voorkeurscontactpersoon.</t>
  </si>
  <si>
    <t>Verwijzing naar de EHDSHealthProfessional</t>
  </si>
  <si>
    <t>Ja note.text/careteam.reason</t>
  </si>
  <si>
    <t>Onduidelijk, mogelijk other participants mits je aan kan geven dat het een voorkeurscontactpersoon is -&gt; Wouter vragen</t>
  </si>
  <si>
    <t>CON-18</t>
  </si>
  <si>
    <t>externalResource</t>
  </si>
  <si>
    <t>Externe bronnen die specifiek betrekking hebben op het probleem, bijvoorbeeld een link naar een probleem met een zeldzame ziekte en de bijbehorende richtlijnen</t>
  </si>
  <si>
    <t>uri</t>
  </si>
  <si>
    <t xml:space="preserve">0..* </t>
  </si>
  <si>
    <t>Ja(structureDefinition.extension:relatedArtifact) FMM2</t>
  </si>
  <si>
    <t>ja/nee Guideline Identifier (focust op richtlijnen of breder, LIM is breder)</t>
  </si>
  <si>
    <t>CON-19</t>
  </si>
  <si>
    <t>Toelichting van diegene die het Probleem heeft vastgesteld of bijgewerkt.</t>
  </si>
  <si>
    <t>Ja (note)</t>
  </si>
  <si>
    <t>Ja (comment)</t>
  </si>
  <si>
    <t>CON-20</t>
  </si>
  <si>
    <t>NadereSpecificatieProbleemNaam</t>
  </si>
  <si>
    <t>Wat is precies de behoefte van MBZ-MSZ voor een waardelijst als een naderespecificatie</t>
  </si>
  <si>
    <t xml:space="preserve">String en waardelijst </t>
  </si>
  <si>
    <t>Zib 2020; informatiestandaard BgZ-MSZ</t>
  </si>
  <si>
    <t xml:space="preserve">ja/nee (code.text) </t>
  </si>
  <si>
    <t>Ja, variant (tekst or coded tekst)</t>
  </si>
  <si>
    <t>Actie</t>
  </si>
  <si>
    <t>Notitie</t>
  </si>
  <si>
    <t>[Actie om te ondernemen, kies uit de 3 acties: cluster, andere bouwsteen en modelleren]</t>
  </si>
  <si>
    <t>[Eventuele notitie]</t>
  </si>
  <si>
    <t>[Naam van de informatie-requirement ]</t>
  </si>
  <si>
    <t>In het FHIR profiel is er voor de referentie voor auteur.Device nog geen Device profiel toegevoegd omdat nlcore-device nog niet bestaat. Deze moet tzt wel toegevoegd worden.</t>
  </si>
  <si>
    <t>Onderwerp</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</si>
  <si>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</si>
  <si>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</si>
  <si>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</si>
  <si>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</si>
  <si>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</si>
  <si>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</si>
  <si>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</si>
  <si>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</si>
  <si>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</si>
  <si>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</si>
  <si>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</si>
  <si>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spoedsamenvatting 2.2.0</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</si>
  <si>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</si>
  <si>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</si>
  <si>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</si>
  <si>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</si>
  <si>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</si>
  <si>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r>
      <rPr>
        <sz val="11"/>
        <color rgb="FF000000"/>
        <rFont val="Aptos Narrow"/>
        <scheme val="minor"/>
      </rPr>
      <t>Na analyse blijkt FHIR beste keus, want:</t>
    </r>
    <r>
      <rPr>
        <sz val="11"/>
        <color rgb="FFFF0000"/>
        <rFont val="Aptos Narrow"/>
        <scheme val="minor"/>
      </rPr>
      <t xml:space="preserve">  [hier nog even de volwassenheid van FHIR-basismodel en openEHR neerzetten]
</t>
    </r>
    <r>
      <rPr>
        <sz val="11"/>
        <color rgb="FF000000"/>
        <rFont val="Aptos Narrow"/>
        <scheme val="minor"/>
      </rPr>
      <t>- category geen mapping heeft op openEHR en wel een mapping op FHIR
- diagnosisAssertionStatus waardelijst komt niet precies overeen bij openEHR, wel in FHIR
- stage komt niet precies overeen in openEHR, namelijk via extensie / uitbreiding van archetype Specific Details (cluster?), wel in FHIR
- nadereSpecificatieProbleemNaam heeft in ZIBFHIR-145 een mapping gekregen op FHIR, maar is duidelijker in openEHR gemodelleerd als "variant" (echter variant is specifieker, dan LIMS/ZIB wil duiden )
-specialistcontact: in openEHR is het onduidelijk, mogelijk other participants mits je aan kan geven dat het een voorkeurscontactpersoon is. in FHIR ook niet ideaal, namelijk note.text of via careteam.reason</t>
    </r>
  </si>
  <si>
    <t>Indicates the patient or group who the condition record is associated with.</t>
  </si>
  <si>
    <t>subject</t>
  </si>
  <si>
    <t>Waarom zetten we groep er wel of niet bij? Nu niet meegenomen, maar wellicht voor in de toekomst?</t>
  </si>
  <si>
    <t>2.16.840.1.113883.2.4.3.11.60.153.4.30/2026-07-29T00:00:00</t>
  </si>
  <si>
    <t>Identificatie van object gezondheidstoestand</t>
  </si>
  <si>
    <t>De patiënt waarover de gezondheidstoestand gaat</t>
  </si>
  <si>
    <t>Verwijziging naar Patient of Groep</t>
  </si>
  <si>
    <t>De persoon waarnaar in deze evaluatie wordt verwezen, is doorgaans de persoon op wie het medisch dossier betrekking heeft, oftewel de patiënt. In bepaalde omstandigheden kan het echter ook om anderen gaan, bijvoorbeeld een orgaandonor, een foetus of een familielid.</t>
  </si>
  <si>
    <t>Geeft aan aan welke patiënt of groep het dossier in kader van gezondheidstoestand is gekoppeld.</t>
  </si>
  <si>
    <t>CON-1.4</t>
  </si>
  <si>
    <t>Nee, Kenmerken die relevant zijn voor een eenduidige definitie van het concept vormen de dataelementen van de zib. Een zib moet alle mogelijke eigenschappen van dat concept vatten voor zover relevant in gebruik van informatiesystemen binnen het zorg- en gezondheidsdomein
Kenmerken die wel relevant zijn voor een compleet begrip, maar ook los van het concept herbruikbaar zijn worden als aparte zib middels een relaties vormgegeven</t>
  </si>
  <si>
    <t xml:space="preserve">Nee </t>
  </si>
  <si>
    <t>CON-3.4</t>
  </si>
  <si>
    <t>contactpersoon als auteur</t>
  </si>
  <si>
    <t>auteur</t>
  </si>
  <si>
    <t>nee</t>
  </si>
  <si>
    <t xml:space="preserve"> EHDSCondition.header.author</t>
  </si>
  <si>
    <t>LIMS omschrijving is "	
The author of the condition information."  Het is gemapt met FHIR: Condition.recorder: de omschrijving is "Individual who recorded the record and takes responsibility for its content." -&gt; de registratie-persoon is niet altijd ook de verantwoordelijke.  Is dit een foute mapping?</t>
  </si>
  <si>
    <t>Verwijzing naar patient, zorgverlener, contactpersoon</t>
  </si>
  <si>
    <t>CON-6.1</t>
  </si>
  <si>
    <t>Degene die de informatie heeft verschaft en instaat voor de juistheid ervan. Dit is niet altijd zorgverlener die de gegevens invoert in het informatiesysteem, maar het kan ook de patiënt zijn of een andere betrokkene zoals bv een ouder, mantelzorger of voogd.</t>
  </si>
  <si>
    <t>Informatiebron</t>
  </si>
  <si>
    <t>Het apparaat waar de informatie over de conditie vandaan komt</t>
  </si>
  <si>
    <r>
      <rPr>
        <sz val="11"/>
        <color rgb="FF000000"/>
        <rFont val="Aptos Narrow"/>
        <scheme val="minor"/>
      </rPr>
      <t>Ja (asserter</t>
    </r>
    <r>
      <rPr>
        <sz val="11"/>
        <color rgb="FFFF0000"/>
        <rFont val="Aptos Narrow"/>
        <scheme val="minor"/>
      </rPr>
      <t>?</t>
    </r>
    <r>
      <rPr>
        <sz val="11"/>
        <color rgb="FF000000"/>
        <rFont val="Aptos Narrow"/>
        <scheme val="minor"/>
      </rPr>
      <t>)</t>
    </r>
  </si>
  <si>
    <t>ja, informatiebron als basiselement</t>
  </si>
  <si>
    <t>nee, niet voor elke zib klinisch relevant, en bovendien niet voor elke zib duidelijk wat hiermee bedoeld wordt, met name in relatie tot het element Auteur.</t>
  </si>
  <si>
    <t>JA, auteur als basiselement</t>
  </si>
  <si>
    <t>Auteur: niet voor elke zib klinisch relevant, en bovendien niet voor elke zib duidelijk wat hiermee bedoeld wordt, met name in relatie tot bron van de informatie en de vastlegger in het dossier.</t>
  </si>
  <si>
    <t>Zib 2017 https://www.zibs.nl/images/2/2a/Architectuurdocument_Registratie_aan_de_bron_-_Volume_1_v1.1.pdf</t>
  </si>
  <si>
    <t>Zib 2017 (https://www.zibs.nl/images/2/2a/Architectuurdocument_Registratie_aan_de_bron_-_Volume_1_v1.1.pdf)</t>
  </si>
  <si>
    <t>EHDS LIM EHDSCondition 1.0.0, Zib 2017 (https://www.zibs.nl/images/2/2a/Architectuurdocument_Registratie_aan_de_bron_-_Volume_1_v1.1.pdf) 
Spoedsamenvatting 2.2.0</t>
  </si>
  <si>
    <t>EHDS LIM EHDSCondition 1.0.0
spoedsamenvatting 2.2.0</t>
  </si>
  <si>
    <r>
      <rPr>
        <sz val="11"/>
        <color rgb="FF000000"/>
        <rFont val="Aptos Narrow"/>
        <scheme val="minor"/>
      </rPr>
      <t xml:space="preserve">Ja (recorder </t>
    </r>
    <r>
      <rPr>
        <sz val="11"/>
        <color rgb="FFFF0000"/>
        <rFont val="Aptos Narrow"/>
        <scheme val="minor"/>
      </rPr>
      <t>?</t>
    </r>
    <r>
      <rPr>
        <sz val="11"/>
        <color rgb="FF000000"/>
        <rFont val="Aptos Narrow"/>
        <scheme val="minor"/>
      </rPr>
      <t>, 0..1)</t>
    </r>
  </si>
  <si>
    <t>ZIB 2017  (https://www.zibs.nl/images/2/2a/Architectuurdocument_Registratie_aan_de_bron_-_Volume_1_v1.1.pdf) 
Spoedsamenvatting 2.2.0</t>
  </si>
  <si>
    <t>NL-behoefte vanuit 2017:Degene op wie de informatie betrekking heeft. Vaak zal dit de patiënt zijn, maar vooral bij kleine kinderen kan het informatie over de ouder of verzorger zijn. Vooral bij de verpleegkundige overdrachten speelt b.v. bekwaamheid en betrokkenheid van mantelzorgers een rol.
NL-behoefte komt te vervallen in zib- 2020:  impliciet is dit altijd de patiënt. In de sporadische gevallen dat de patiënt niet het onderwerp is, is dit in de betreffende zibs al expliciet gemodelleerd, zoals bijvoorbeeld in FamilieAnamnese.</t>
  </si>
  <si>
    <t>Om het object uniek te identificeren in systemen</t>
  </si>
  <si>
    <t>De auteur van de informatie over de gezondheidstoestand.
NL-behoefte voor auteur, informatiebron en vastlegger komt uit 'registratie aan de bron' voor zib2017.
NL-behoefte komt te vervallen in zib2020</t>
  </si>
  <si>
    <t xml:space="preserve">De organisatie waaruit de informatie over de conditie afkomstig is.
NL-behoefte: waarom/meerwaarde vanuit de spoedsamenvatting: om verschil te maken tussen wie registreert en wie is verantwoordelijke dossierhouder; als in er kunnen verschillende zorgverleners werken bij dezelfde organisatie.-&gt; niet bekend of dit een informatiebehoefte is uit het zorgveld of uit  HL7standaard V3 CDA (custiodian en author) 
Bij het sturen van verwijzingen, rapportages, logistieke berichten en ambulanceberichten ligt het initiatief voor gegevensuitwisseling bij de brondossierhouder (bron: https://www.nhg.org/wp-content/uploads/2023/02/Richtlijn-Gegevensuitwisseling-acute-zorg-versie-4-2022.pdf ). </t>
  </si>
  <si>
    <t xml:space="preserve">
De zorgverlener die de informatie over de conditie invoert/registreert
NL-behoefte: Waarom/meerwaarde vanuit de spoedsamenvatting; om verschil te maken tussen wie registreert en wie is verantwoordelijke dossierhouder; Er kunnen verschillende zorgverleners werken bij dezelfde organisatie -&gt; niet bekend of dit een informatiebehoefte is uit het zorgveld of uit HL7standaard V3 CDA (custiodian en author) 
</t>
  </si>
  <si>
    <r>
      <rPr>
        <sz val="11"/>
        <color rgb="FF000000"/>
        <rFont val="Aptos Narrow"/>
        <scheme val="minor"/>
      </rPr>
      <t xml:space="preserve">NL-behoefte zib2017: Degene die de informatie heeft vastgelegd. Afhankelijk van het informatiesysteem waarin de gegevens vastgelegd zijn kan dit zijn de patiënt, een </t>
    </r>
    <r>
      <rPr>
        <b/>
        <sz val="11"/>
        <color rgb="FF000000"/>
        <rFont val="Aptos Narrow"/>
        <scheme val="minor"/>
      </rPr>
      <t xml:space="preserve">contactpersoon </t>
    </r>
    <r>
      <rPr>
        <sz val="11"/>
        <color rgb="FF000000"/>
        <rFont val="Aptos Narrow"/>
        <scheme val="minor"/>
      </rPr>
      <t>of de zorgverlener.  Het is  een basiselementen. Deze zijn in de informatiemodellen van de afzonderlijke bouwstenen in de meeste gevallen niet opgenomen, maar worden wel verondersteld aanwezig te zijn. Het betreft concepten die meer technisch van aard zijn, vaak geen of weinig klinische relevantie hebben, maar voor de eenduidigheid en herleidbaarheid van de gegevens noodzakelijk zijn.
NL-behoefte komt te vervallen in zib2020</t>
    </r>
  </si>
  <si>
    <t>Datum en evt. tijd van registreren</t>
  </si>
  <si>
    <t>Datum en eventueel tijdstip van opstellen/uitgeven</t>
  </si>
  <si>
    <t>Bij een episode kan zowel de startdatum van de episode zelf (het begin van de contacten tussen arts en patiënt over een gezondheidskwestie) worden vastgelegd, als de begindatum van de in de episodetitel beschreven aandoening.
Bij template kezo-Problemobservation  is De effectiveTime, ook biologisch relevante tijd genoemd, is het tijdstip waarop de waarneming geldt voor de patient. Voor een zorgverlener die een patiënt in de kliniek vandaag ziet en waar een voorgeschiedenis van een hartaanval wordt geconstatterd die vijf jaar geleden heeft plaatsgevonden, is de effectiveTime dus vijf jaar geleden.
de reden voor IVL_TS is onbekend</t>
  </si>
  <si>
    <t>Spoedsamenvatting 2.2.0 (https://decor.nictiz.nl/pub/acutezorg/acutezorg-html-20190117T230242/tmp-2.16.840.1.113883.2.4.3.11.60.66.10.213-2015-07-03T000000.html)</t>
  </si>
  <si>
    <t xml:space="preserve">zorgepisode.startdatum </t>
  </si>
  <si>
    <t>probleem.startdatum</t>
  </si>
  <si>
    <t>IVL_TS</t>
  </si>
  <si>
    <t>Spoedsamenvatting 2.2.0 (bron: KEZO Overdracht Concern, 2.16.840.1.113883.2.4.3.11.60.66.10.212)</t>
  </si>
  <si>
    <t>NL-behoefte: Dit komt overeen met de tijd dat de concern in het patiëntendossier terecht is gekomen. HIS-referentiemodel geeft aan : startdatum episode: DatumTijd=systeemdatum. Datum van het eerste contact van de patiënt met de medisch medewerker over de gezondheidskwestie van de episode. De startdatum betreft de registratie van het eerste item in de episode; cardinaliteit 1</t>
  </si>
  <si>
    <t>https://referentiemodel.nhg.org/
https://www.nhg.org/wp-content/uploads/2023/02/Richtlijn-Gegevensuitwisseling-acute-zorg-versie-4-2022.pdf</t>
  </si>
  <si>
    <t>Auteur</t>
  </si>
  <si>
    <t>Bron</t>
  </si>
  <si>
    <t>Taal</t>
  </si>
  <si>
    <t>Source</t>
  </si>
  <si>
    <t>Condition model - EHDS Logical Information Models v1.0.0
https://health.ec.europa.eu/publications/ehn-guideline-patient-summary_en</t>
  </si>
  <si>
    <t>De status van de conditie. Requirement: eHN Guideline HDR (v1.1): A.2.6.1.7; PS (v3.4) A.2.2.2.1</t>
  </si>
  <si>
    <r>
      <rPr>
        <sz val="11"/>
        <color rgb="FF000000"/>
        <rFont val="Aptos Narrow"/>
      </rPr>
      <t xml:space="preserve">Waardelijst (preferred): HL7 Condition Clinical Status Codes (active, recurrence, relapse, inactive, remission, resolved, </t>
    </r>
    <r>
      <rPr>
        <sz val="11"/>
        <color rgb="FFFF0000"/>
        <rFont val="Aptos Narrow"/>
      </rPr>
      <t>unknown?</t>
    </r>
    <r>
      <rPr>
        <sz val="11"/>
        <color rgb="FF000000"/>
        <rFont val="Aptos Narrow"/>
      </rPr>
      <t xml:space="preserve">) </t>
    </r>
    <r>
      <rPr>
        <sz val="11"/>
        <color rgb="FFFF0000"/>
        <rFont val="Aptos Narrow"/>
      </rPr>
      <t>PAT-301</t>
    </r>
  </si>
  <si>
    <t>datumTijd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</si>
</sst>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b/>
      <sz val="11"/>
      <color theme="1"/>
      <name val="Aptos Narrow"/>
      <family val="2"/>
      <scheme val="minor"/>
    </font>
    <font>
      <i/>
      <sz val="11"/>
      <color theme="1"/>
      <name val="Aptos Narrow"/>
      <family val="2"/>
      <scheme val="minor"/>
    </font>
    <font>
      <i/>
      <sz val="12"/>
      <color theme="1"/>
      <name val="Aptos"/>
      <family val="2"/>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charset val="1"/>
    </font>
    <font>
      <sz val="9"/>
      <color rgb="FF4D4D4D"/>
      <name val="Tahoma"/>
      <family val="2"/>
    </font>
    <font>
      <sz val="11"/>
      <color rgb="FF000000"/>
      <name val="Aptos Narrow"/>
      <scheme val="minor"/>
    </font>
    <font>
      <sz val="11"/>
      <color rgb="FF000000"/>
      <name val="Aptos Narrow"/>
    </font>
    <font>
      <sz val="9"/>
      <color rgb="FF4D4D4D"/>
      <name val="Tahoma"/>
    </font>
    <font>
      <sz val="11"/>
      <color rgb="FFFF0000"/>
      <name val="Aptos Narrow"/>
      <scheme val="minor"/>
    </font>
    <font>
      <sz val="7"/>
      <color rgb="FF333333"/>
      <name val="Verdana"/>
      <family val="2"/>
    </font>
    <font>
      <b/>
      <sz val="11"/>
      <color rgb="FF000000"/>
      <name val="Aptos Narrow"/>
      <scheme val="minor"/>
    </font>
    <font>
      <sz val="11"/>
      <color rgb="FF000000"/>
      <name val="Aptos Narrow"/>
      <charset val="1"/>
    </font>
    <font>
      <sz val="11"/>
      <color rgb="FFFF0000"/>
      <name val="Aptos Narrow"/>
    </font>
    <font>
      <sz val="11"/>
      <color theme="1"/>
      <name val="Aptos Narrow"/>
    </font>
  </fonts>
  <fills count="7">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C000"/>
        <bgColor indexed="64"/>
      </patternFill>
    </fill>
  </fills>
  <borders count="5">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2">
    <xf numFmtId="0" fontId="0" fillId="0" borderId="0"/>
    <xf numFmtId="0" fontId="4" fillId="0" borderId="0" applyNumberFormat="0" applyFill="0" applyBorder="0" applyAlignment="0" applyProtection="0"/>
  </cellStyleXfs>
  <cellXfs count="46">
    <xf numFmtId="0" fontId="0" fillId="0" borderId="0" xfId="0"/>
    <xf numFmtId="0" fontId="2" fillId="0" borderId="0" xfId="0" applyFont="1"/>
    <xf numFmtId="0" fontId="1" fillId="0" borderId="0" xfId="0" applyFont="1"/>
    <xf numFmtId="0" fontId="0" fillId="0" borderId="0" xfId="0" applyAlignment="1">
      <alignment wrapText="1"/>
    </xf>
    <xf numFmtId="0" fontId="4" fillId="0" borderId="0" xfId="1" applyAlignment="1">
      <alignment wrapText="1"/>
    </xf>
    <xf numFmtId="0" fontId="4" fillId="0" borderId="0" xfId="1"/>
    <xf numFmtId="0" fontId="4" fillId="0" borderId="0" xfId="1" applyAlignment="1">
      <alignment horizontal="left" vertical="center" wrapText="1"/>
    </xf>
    <xf numFmtId="0" fontId="2" fillId="0" borderId="0" xfId="0" applyFont="1" applyAlignment="1">
      <alignment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6" fillId="0" borderId="0" xfId="0" applyFont="1"/>
    <xf numFmtId="0" fontId="0" fillId="0" borderId="0" xfId="0" applyAlignment="1">
      <alignment horizontal="left" vertical="top" wrapText="1"/>
    </xf>
    <xf numFmtId="0" fontId="8" fillId="0" borderId="2" xfId="0" applyFont="1" applyBorder="1" applyAlignment="1">
      <alignment horizontal="left" vertical="top" wrapText="1"/>
    </xf>
    <xf numFmtId="0" fontId="10" fillId="0" borderId="0" xfId="0" applyFont="1" applyAlignment="1">
      <alignment horizontal="left" vertical="top" wrapText="1"/>
    </xf>
    <xf numFmtId="0" fontId="1" fillId="0" borderId="0" xfId="0" applyFont="1" applyAlignment="1">
      <alignment horizontal="left" vertical="top" wrapText="1"/>
    </xf>
    <xf numFmtId="0" fontId="8" fillId="0" borderId="0" xfId="0" applyFont="1" applyAlignment="1">
      <alignment horizontal="left" vertical="top" wrapText="1"/>
    </xf>
    <xf numFmtId="0" fontId="11" fillId="0" borderId="0" xfId="0" applyFont="1" applyAlignment="1">
      <alignment wrapText="1"/>
    </xf>
    <xf numFmtId="0" fontId="0" fillId="4" borderId="3" xfId="0" applyFill="1" applyBorder="1" applyAlignment="1">
      <alignment wrapText="1"/>
    </xf>
    <xf numFmtId="0" fontId="3" fillId="0" borderId="0" xfId="0" applyFont="1"/>
    <xf numFmtId="0" fontId="9"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7"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0" fillId="3" borderId="0" xfId="0" applyFont="1" applyFill="1" applyAlignment="1">
      <alignment wrapText="1"/>
    </xf>
    <xf numFmtId="0" fontId="11" fillId="0" borderId="0" xfId="0" applyFont="1"/>
    <xf numFmtId="0" fontId="1" fillId="0" borderId="0" xfId="0" applyFont="1" applyAlignment="1">
      <alignment horizontal="left" wrapText="1"/>
    </xf>
    <xf numFmtId="0" fontId="12" fillId="0" borderId="0" xfId="0" applyFont="1" applyAlignment="1">
      <alignment wrapText="1"/>
    </xf>
    <xf numFmtId="0" fontId="12" fillId="0" borderId="0" xfId="0" applyFont="1"/>
    <xf numFmtId="0" fontId="12" fillId="2" borderId="1" xfId="0" applyFont="1" applyFill="1" applyBorder="1" applyAlignment="1">
      <alignment wrapText="1"/>
    </xf>
    <xf numFmtId="0" fontId="12" fillId="2" borderId="0" xfId="0" applyFont="1" applyFill="1" applyAlignment="1">
      <alignment wrapText="1"/>
    </xf>
    <xf numFmtId="0" fontId="0" fillId="5" borderId="0" xfId="0" applyFill="1" applyAlignment="1">
      <alignment wrapText="1"/>
    </xf>
    <xf numFmtId="0" fontId="14" fillId="0" borderId="0" xfId="0" applyFont="1" applyAlignment="1">
      <alignment wrapText="1"/>
    </xf>
    <xf numFmtId="0" fontId="0" fillId="6" borderId="0" xfId="0" applyFill="1" applyAlignment="1">
      <alignment wrapText="1"/>
    </xf>
    <xf numFmtId="0" fontId="0" fillId="0" borderId="4" xfId="0" applyBorder="1"/>
    <xf numFmtId="0" fontId="15" fillId="0" borderId="0" xfId="0" applyFont="1" applyAlignment="1">
      <alignment wrapText="1"/>
    </xf>
    <xf numFmtId="0" fontId="17" fillId="0" borderId="0" xfId="0" applyFont="1"/>
    <xf numFmtId="0" fontId="0" fillId="0" borderId="0" xfId="0" applyFont="1" applyAlignment="1">
      <alignment horizontal="right"/>
    </xf>
    <xf numFmtId="0" fontId="0" fillId="0" borderId="0" xfId="0" applyFont="1" applyAlignment="1">
      <alignment horizontal="left" wrapText="1"/>
    </xf>
    <xf numFmtId="0" fontId="0" fillId="0" borderId="0" xfId="0" applyFont="1" applyAlignment="1">
      <alignment wrapText="1"/>
    </xf>
    <xf numFmtId="0" fontId="10" fillId="0" borderId="0" xfId="0" applyFont="1" applyFill="1" applyAlignment="1">
      <alignment horizontal="left" vertical="top" wrapText="1"/>
    </xf>
    <xf numFmtId="0" fontId="10" fillId="0" borderId="0" xfId="0" applyFont="1" applyFill="1" applyAlignment="1">
      <alignment wrapText="1"/>
    </xf>
    <xf numFmtId="0" fontId="19" fillId="0" borderId="0" xfId="0" applyFont="1"/>
    <xf numFmtId="0" fontId="21" fillId="0" borderId="0" xfId="0" applyFont="1" applyAlignment="1">
      <alignment wrapText="1"/>
    </xf>
  </cellXfs>
  <cellStyles count="2">
    <cellStyle name="Hyperlink" xfId="1" builtinId="8"/>
    <cellStyle name="Standaard" xfId="0" builtinId="0"/>
  </cellStyles>
  <dxfs count="23">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wrapText="1"/>
    </dxf>
    <dxf>
      <alignment wrapText="1"/>
    </dxf>
    <dxf>
      <font>
        <b val="0"/>
        <i/>
        <strike val="0"/>
        <condense val="0"/>
        <extend val="0"/>
        <outline val="0"/>
        <shadow val="0"/>
        <u val="none"/>
        <vertAlign val="baseline"/>
        <sz val="11"/>
        <color theme="1"/>
        <name val="Aptos Narrow"/>
        <family val="2"/>
        <scheme val="minor"/>
      </font>
      <alignment wrapText="1"/>
    </dxf>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8</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AA9086-205B-4EC4-8920-A2DD04D02676}" name="Tabel2" displayName="Tabel2" ref="A2:F13" totalsRowShown="0">
  <autoFilter ref="A2:F13" xr:uid="{7AAA9086-205B-4EC4-8920-A2DD04D02676}"/>
  <tableColumns count="6">
    <tableColumn id="1" xr3:uid="{BDCFF82A-D4BE-440B-90DF-AA26F6831D5C}" name="Veld"/>
    <tableColumn id="2" xr3:uid="{77503B9E-152C-4B39-87F4-D4FBBF1B3BDA}" name="Beschrijving" dataDxfId="16"/>
    <tableColumn id="3" xr3:uid="{DAF348AE-F547-4357-9E3C-18B833059F60}" name="Invulling (zelf beschreven op basis van openEHR, FHIR R4 en EHDS LIM)" dataDxfId="15"/>
    <tableColumn id="4" xr3:uid="{6782DEBA-8C39-4E2C-BBC2-2CD68FCA1048}" name="Bronnen" dataDxfId="14"/>
    <tableColumn id="5" xr3:uid="{B530BE2A-715C-42B8-BFE1-95637D35484B}" name="a.d.h.v. keuze FHIR als basismodel"/>
    <tableColumn id="6" xr3:uid="{1CF171A1-4997-44CE-A155-D2A5B879A058}" name="a.d.h.v. keuze OpenEHR als basismod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17" totalsRowShown="0" headerRowDxfId="13" dataDxfId="12">
  <autoFilter ref="A1:E17" xr:uid="{1B14A882-8085-4978-86D3-1A5B42023C72}"/>
  <tableColumns count="5">
    <tableColumn id="1" xr3:uid="{2D5F85E5-856C-4A15-8C5D-D8D344B8F13C}" name="Type bron" dataDxfId="11"/>
    <tableColumn id="2" xr3:uid="{062A7D5A-6D4F-45DD-9A5C-7A2D82A1266A}" name="Naam bron" dataDxfId="10"/>
    <tableColumn id="3" xr3:uid="{24E64AAE-4BAD-402C-98B7-B46BE371B39E}" name="Toelichting" dataDxfId="9"/>
    <tableColumn id="5" xr3:uid="{98DE6918-807C-41E0-ACBA-1E2221CF05FC}" name="Informatiebehoefte verwerkt in sheet 'informatiebeheofte'" dataDxfId="8"/>
    <tableColumn id="6" xr3:uid="{8CFF4D4C-ABDD-49BC-8B49-237193168687}" name="Link naar bron informatie"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N53" totalsRowShown="0" headerRowDxfId="6">
  <autoFilter ref="A2:N53" xr:uid="{2D02605E-6993-49A7-90CB-92D41480A08E}"/>
  <tableColumns count="14">
    <tableColumn id="1" xr3:uid="{51E2B1E8-BF1C-4C85-9A83-8C69A4006993}" name="Nummer" dataDxfId="5"/>
    <tableColumn id="2" xr3:uid="{021C00E0-4FF4-4652-B8E3-674B1F145954}" name="Naam" dataDxfId="4"/>
    <tableColumn id="12" xr3:uid="{721FE94A-B8C9-44E1-A03C-56E48CDCE2A3}" name="data-element"/>
    <tableColumn id="3" xr3:uid="{12776FCA-6A89-4E9E-907F-2E30F0D43DA3}" name="Omschrijving" dataDxfId="3"/>
    <tableColumn id="4" xr3:uid="{9E28C4DB-2A8B-484B-80F1-321440976652}" name="Variabiliteit" dataDxfId="2"/>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0" xr3:uid="{943D4BF3-315C-41FB-99E4-8DB8C54604A4}" name="Komt voor in ZIBProbleem-v4.4? (2020)"/>
    <tableColumn id="14" xr3:uid="{8B1A7EB4-D690-4A36-9698-ACA592C2A715}" name="Komt voor in ZIBProbleem? (2017)" dataDxfId="1"/>
    <tableColumn id="13" xr3:uid="{51A57E0A-A216-45BB-973D-E0D8C72BEEEC}" name="Komt voor in ZIBProbleem? (2024)" dataDxfId="0"/>
    <tableColumn id="11" xr3:uid="{E7EDB106-7E3F-4122-A864-3B3AE59C9D87}" name="Opmerking"/>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9" totalsRowShown="0" headerRowDxfId="22" dataDxfId="21">
  <autoFilter ref="B3:E9" xr:uid="{87319CEB-0666-49DA-BC74-CF83CFEF5B56}"/>
  <tableColumns count="4">
    <tableColumn id="1" xr3:uid="{560ECDF4-85E6-4E09-A58E-EF7D363E1023}" name="Data element" dataDxfId="20"/>
    <tableColumn id="2" xr3:uid="{7F322FC5-2406-403F-A6D2-4B8A1403332A}" name="Informatiestandaard" dataDxfId="19"/>
    <tableColumn id="3" xr3:uid="{735B888A-5B6D-4761-9CE2-3D7CE959A3F7}" name="Uitleg" dataDxfId="18"/>
    <tableColumn id="4" xr3:uid="{B46EF00D-8E8C-4C31-9A1B-A5AED42F9E48}" name="Uitkomst" dataDxfId="17"/>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3" dT="2026-07-23T07:54:32.60" personId="{E6DC4CC4-5331-4633-9C1C-269F406E61BD}" id="{FC56F738-FB65-495B-9B48-E0F47216F010}">
    <text>AllergyInt heeft een andere naam conventie voor ‘Nummer’. Controleren welke juist is.</text>
  </threadedComment>
  <threadedComment ref="J21" dT="2026-07-16T05:50:21.33" personId="{67CE0BAC-4786-48DE-9DCD-69E1F3FACFC1}" id="{903FD87C-9891-4AE1-9361-7224FCD06B01}">
    <text> active
 inactive
 resolved
 in remission
 evolution status - initial, interim/working, final; temporal status - current, past; episodicity status - first, new, ongoing; admission status - admission, discharge; or priority status - primary, secondary.</text>
  </threadedComment>
  <threadedComment ref="K21" dT="2026-07-20T09:26:12.56" personId="{E6DC4CC4-5331-4633-9C1C-269F406E61BD}" id="{B3533A99-0CB6-4646-9417-20A66FEFD573}">
    <text>1. Actief
2. Inactief
Kortere waardelijst</text>
  </threadedComment>
  <threadedComment ref="K26" dT="2026-07-20T09:50:58.06" personId="{E6DC4CC4-5331-4633-9C1C-269F406E61BD}" id="{20B2A504-5F6F-4996-9921-E2104F9548D8}">
    <text>Wel in metadata!</text>
  </threadedComment>
  <threadedComment ref="E29" dT="2026-07-20T11:55:56.61" personId="{86017760-9D2E-4C04-A548-4B0AED173840}" id="{DC3A08E9-01DD-48D1-B7F5-357810DE5428}">
    <text>Onduidelijk welke waardelijst gehandeerd moet worden</text>
  </threadedComment>
  <threadedComment ref="B31" dT="2026-07-22T10:46:13.79" personId="{67CE0BAC-4786-48DE-9DCD-69E1F3FACFC1}" id="{035A58F6-6A6B-4788-883F-2110C3BA07ED}">
    <text>ter discussie</text>
  </threadedComment>
  <threadedComment ref="C31" dT="2026-07-22T10:46:13.79" personId="{67CE0BAC-4786-48DE-9DCD-69E1F3FACFC1}" id="{00D6E7CD-1959-4C9A-8BC1-A1E323A0102F}">
    <text>ter discussie</text>
  </threadedComment>
  <threadedComment ref="C39" dT="2026-07-22T10:57:31.61" personId="{67CE0BAC-4786-48DE-9DCD-69E1F3FACFC1}" id="{065B39A6-9843-49BF-88E8-0C2BF95F8D00}">
    <text>ter discussie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hyperlink" Target="https://www.hl7.org/fhir/R4/condition.html"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www.zibs.nl/wiki/Probleem-v4.1(2017NL)" TargetMode="External"/><Relationship Id="rId7" Type="http://schemas.openxmlformats.org/officeDocument/2006/relationships/hyperlink" Target="https://ckm.openehr.org/ckm/archetypes/1013.1.169"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decor.nictiz.nl/pub/bgz2017/bgz2017-html-20260422T141230/tr-2.16.840.1.113883.2.4.3.11.60.42.4.42-2024-03-27T165734.html"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defaultRowHeight="14.4" x14ac:dyDescent="0.3"/>
  <cols>
    <col min="1" max="1" width="218.44140625" customWidth="1"/>
  </cols>
  <sheetData>
    <row r="1" spans="1:1" ht="15" customHeight="1" x14ac:dyDescent="0.3">
      <c r="A1" s="3"/>
    </row>
    <row r="18" spans="2:3" x14ac:dyDescent="0.3">
      <c r="B18">
        <f>(510*132.5) + (160*132.5)</f>
        <v>88775</v>
      </c>
      <c r="C18">
        <v>5832</v>
      </c>
    </row>
    <row r="19" spans="2:3" x14ac:dyDescent="0.3">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G13"/>
  <sheetViews>
    <sheetView topLeftCell="B7" zoomScale="70" zoomScaleNormal="70" workbookViewId="0">
      <selection activeCell="E4" sqref="E4"/>
    </sheetView>
  </sheetViews>
  <sheetFormatPr defaultRowHeight="14.4" x14ac:dyDescent="0.3"/>
  <cols>
    <col min="1" max="1" width="23" customWidth="1"/>
    <col min="2" max="2" width="62.33203125" customWidth="1"/>
    <col min="3" max="3" width="76.44140625" style="3" customWidth="1"/>
    <col min="4" max="4" width="30" style="3" customWidth="1"/>
    <col min="5" max="5" width="45.5546875" customWidth="1"/>
    <col min="6" max="6" width="64.109375" customWidth="1"/>
    <col min="7" max="7" width="129.5546875" customWidth="1"/>
  </cols>
  <sheetData>
    <row r="1" spans="1:7" ht="190.5" customHeight="1" x14ac:dyDescent="0.3">
      <c r="A1" s="3"/>
    </row>
    <row r="2" spans="1:7" x14ac:dyDescent="0.3">
      <c r="A2" s="2" t="s">
        <v>0</v>
      </c>
      <c r="B2" s="2" t="s">
        <v>1</v>
      </c>
      <c r="C2" s="3" t="s">
        <v>2</v>
      </c>
      <c r="D2" s="3" t="s">
        <v>3</v>
      </c>
      <c r="E2" s="3" t="s">
        <v>4</v>
      </c>
      <c r="F2" s="3" t="s">
        <v>5</v>
      </c>
    </row>
    <row r="3" spans="1:7" ht="219.75" customHeight="1" x14ac:dyDescent="0.3">
      <c r="A3" t="s">
        <v>6</v>
      </c>
      <c r="B3" s="7" t="s">
        <v>7</v>
      </c>
      <c r="C3" s="8" t="s">
        <v>8</v>
      </c>
      <c r="D3" s="3" t="s">
        <v>9</v>
      </c>
      <c r="E3" s="3" t="s">
        <v>10</v>
      </c>
      <c r="F3" s="3" t="s">
        <v>11</v>
      </c>
      <c r="G3" s="18" t="s">
        <v>12</v>
      </c>
    </row>
    <row r="4" spans="1:7" ht="165" customHeight="1" x14ac:dyDescent="0.3">
      <c r="A4" t="s">
        <v>13</v>
      </c>
      <c r="B4" s="7" t="s">
        <v>14</v>
      </c>
      <c r="C4" s="3" t="s">
        <v>15</v>
      </c>
      <c r="D4" s="3" t="s">
        <v>16</v>
      </c>
      <c r="E4" s="3" t="s">
        <v>17</v>
      </c>
      <c r="F4" s="3" t="s">
        <v>18</v>
      </c>
    </row>
    <row r="5" spans="1:7" ht="360" x14ac:dyDescent="0.3">
      <c r="A5" t="s">
        <v>19</v>
      </c>
      <c r="B5" s="7" t="s">
        <v>20</v>
      </c>
      <c r="C5" s="3" t="s">
        <v>21</v>
      </c>
      <c r="D5" s="3" t="s">
        <v>22</v>
      </c>
      <c r="E5" s="3" t="s">
        <v>23</v>
      </c>
      <c r="F5" s="3" t="s">
        <v>24</v>
      </c>
    </row>
    <row r="6" spans="1:7" ht="86.4" x14ac:dyDescent="0.3">
      <c r="A6" t="s">
        <v>25</v>
      </c>
      <c r="B6" s="7" t="s">
        <v>26</v>
      </c>
      <c r="C6" s="3" t="s">
        <v>27</v>
      </c>
      <c r="D6" s="3" t="s">
        <v>28</v>
      </c>
      <c r="E6" s="3" t="s">
        <v>29</v>
      </c>
      <c r="G6" s="36" t="s">
        <v>30</v>
      </c>
    </row>
    <row r="7" spans="1:7" ht="72" x14ac:dyDescent="0.3">
      <c r="A7" t="s">
        <v>31</v>
      </c>
      <c r="B7" s="7" t="s">
        <v>32</v>
      </c>
      <c r="C7" s="3" t="s">
        <v>33</v>
      </c>
      <c r="D7" s="3" t="s">
        <v>9</v>
      </c>
    </row>
    <row r="8" spans="1:7" ht="156" customHeight="1" x14ac:dyDescent="0.3">
      <c r="A8" t="s">
        <v>34</v>
      </c>
      <c r="B8" s="7" t="s">
        <v>35</v>
      </c>
      <c r="C8" s="3" t="s">
        <v>36</v>
      </c>
      <c r="D8" s="3" t="s">
        <v>9</v>
      </c>
      <c r="E8" s="3" t="s">
        <v>37</v>
      </c>
      <c r="F8" s="3" t="s">
        <v>38</v>
      </c>
    </row>
    <row r="9" spans="1:7" ht="129.6" x14ac:dyDescent="0.3">
      <c r="A9" t="s">
        <v>39</v>
      </c>
      <c r="B9" s="7" t="s">
        <v>40</v>
      </c>
      <c r="C9" s="3" t="s">
        <v>41</v>
      </c>
      <c r="D9" s="3" t="s">
        <v>9</v>
      </c>
      <c r="E9" s="3" t="s">
        <v>42</v>
      </c>
    </row>
    <row r="10" spans="1:7" ht="28.8" x14ac:dyDescent="0.3">
      <c r="A10" t="s">
        <v>43</v>
      </c>
      <c r="B10" s="7" t="s">
        <v>44</v>
      </c>
      <c r="C10" s="3" t="s">
        <v>45</v>
      </c>
      <c r="E10" s="5" t="s">
        <v>46</v>
      </c>
    </row>
    <row r="11" spans="1:7" ht="28.8" x14ac:dyDescent="0.3">
      <c r="A11" t="s">
        <v>47</v>
      </c>
      <c r="B11" s="7" t="s">
        <v>48</v>
      </c>
      <c r="C11" s="3" t="s">
        <v>330</v>
      </c>
    </row>
    <row r="12" spans="1:7" ht="216" customHeight="1" x14ac:dyDescent="0.3">
      <c r="A12" t="s">
        <v>49</v>
      </c>
      <c r="B12" s="7"/>
      <c r="C12" s="3" t="s">
        <v>326</v>
      </c>
    </row>
    <row r="13" spans="1:7" x14ac:dyDescent="0.3">
      <c r="A13" t="s">
        <v>50</v>
      </c>
      <c r="B13" s="7"/>
    </row>
  </sheetData>
  <hyperlinks>
    <hyperlink ref="E10" r:id="rId1" display="https://www.hl7.org/fhir/R4/condition.html" xr:uid="{6169B330-2124-4ACC-9C33-24AFE1D4848F}"/>
  </hyperlink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17"/>
  <sheetViews>
    <sheetView workbookViewId="0">
      <selection activeCell="E3" sqref="E3"/>
    </sheetView>
  </sheetViews>
  <sheetFormatPr defaultRowHeight="14.4" x14ac:dyDescent="0.3"/>
  <cols>
    <col min="1" max="1" width="19.33203125" customWidth="1"/>
    <col min="2" max="2" width="51.33203125" customWidth="1"/>
    <col min="3" max="3" width="67.33203125" customWidth="1"/>
    <col min="4" max="4" width="28" customWidth="1"/>
    <col min="5" max="5" width="58.109375" customWidth="1"/>
  </cols>
  <sheetData>
    <row r="1" spans="1:5" ht="28.5" customHeight="1" x14ac:dyDescent="0.3">
      <c r="A1" s="3" t="s">
        <v>51</v>
      </c>
      <c r="B1" s="3" t="s">
        <v>52</v>
      </c>
      <c r="C1" s="3" t="s">
        <v>53</v>
      </c>
      <c r="D1" s="3" t="s">
        <v>54</v>
      </c>
      <c r="E1" s="3" t="s">
        <v>55</v>
      </c>
    </row>
    <row r="2" spans="1:5" ht="43.2" x14ac:dyDescent="0.3">
      <c r="A2" s="3" t="s">
        <v>56</v>
      </c>
      <c r="B2" s="3" t="s">
        <v>57</v>
      </c>
      <c r="C2" s="3" t="s">
        <v>58</v>
      </c>
      <c r="D2" s="3" t="s">
        <v>59</v>
      </c>
      <c r="E2" s="4" t="s">
        <v>381</v>
      </c>
    </row>
    <row r="3" spans="1:5" ht="28.8" x14ac:dyDescent="0.3">
      <c r="A3" s="3" t="s">
        <v>56</v>
      </c>
      <c r="B3" s="3" t="s">
        <v>60</v>
      </c>
      <c r="C3" s="3" t="s">
        <v>61</v>
      </c>
      <c r="D3" s="3" t="s">
        <v>59</v>
      </c>
      <c r="E3" s="5" t="s">
        <v>46</v>
      </c>
    </row>
    <row r="4" spans="1:5" ht="28.8" x14ac:dyDescent="0.3">
      <c r="A4" s="3" t="s">
        <v>56</v>
      </c>
      <c r="B4" s="3" t="s">
        <v>62</v>
      </c>
      <c r="C4" s="3" t="s">
        <v>63</v>
      </c>
      <c r="D4" s="3" t="s">
        <v>59</v>
      </c>
      <c r="E4" s="5" t="s">
        <v>64</v>
      </c>
    </row>
    <row r="5" spans="1:5" ht="28.8" x14ac:dyDescent="0.3">
      <c r="A5" s="3" t="s">
        <v>65</v>
      </c>
      <c r="B5" s="3" t="s">
        <v>66</v>
      </c>
      <c r="C5" s="3" t="s">
        <v>67</v>
      </c>
      <c r="D5" s="3"/>
      <c r="E5" s="5" t="s">
        <v>68</v>
      </c>
    </row>
    <row r="6" spans="1:5" x14ac:dyDescent="0.3">
      <c r="A6" s="3" t="s">
        <v>65</v>
      </c>
      <c r="B6" s="3" t="s">
        <v>69</v>
      </c>
      <c r="C6" s="3" t="s">
        <v>70</v>
      </c>
      <c r="D6" s="3"/>
      <c r="E6" s="5" t="s">
        <v>71</v>
      </c>
    </row>
    <row r="7" spans="1:5" x14ac:dyDescent="0.3">
      <c r="A7" s="3" t="s">
        <v>65</v>
      </c>
      <c r="B7" s="3" t="s">
        <v>72</v>
      </c>
      <c r="C7" s="3" t="s">
        <v>70</v>
      </c>
      <c r="D7" s="3"/>
      <c r="E7" s="5" t="s">
        <v>73</v>
      </c>
    </row>
    <row r="8" spans="1:5" ht="43.2" x14ac:dyDescent="0.3">
      <c r="A8" s="3" t="s">
        <v>74</v>
      </c>
      <c r="B8" s="3" t="s">
        <v>75</v>
      </c>
      <c r="C8" s="3" t="s">
        <v>76</v>
      </c>
      <c r="D8" s="3" t="s">
        <v>59</v>
      </c>
      <c r="E8" s="5" t="s">
        <v>77</v>
      </c>
    </row>
    <row r="9" spans="1:5" ht="43.2" x14ac:dyDescent="0.3">
      <c r="A9" s="3" t="s">
        <v>74</v>
      </c>
      <c r="B9" s="3" t="s">
        <v>78</v>
      </c>
      <c r="C9" s="3" t="s">
        <v>79</v>
      </c>
      <c r="D9" s="3" t="s">
        <v>59</v>
      </c>
      <c r="E9" s="4" t="s">
        <v>376</v>
      </c>
    </row>
    <row r="10" spans="1:5" x14ac:dyDescent="0.3">
      <c r="A10" s="3" t="s">
        <v>74</v>
      </c>
      <c r="B10" s="3"/>
      <c r="C10" s="3"/>
      <c r="D10" s="3"/>
      <c r="E10" s="6"/>
    </row>
    <row r="11" spans="1:5" x14ac:dyDescent="0.3">
      <c r="A11" s="3"/>
      <c r="B11" s="3"/>
      <c r="C11" s="3"/>
      <c r="D11" s="3"/>
      <c r="E11" s="6"/>
    </row>
    <row r="12" spans="1:5" x14ac:dyDescent="0.3">
      <c r="A12" s="3"/>
      <c r="B12" s="3"/>
      <c r="C12" s="3"/>
      <c r="D12" s="3"/>
      <c r="E12" s="6"/>
    </row>
    <row r="13" spans="1:5" x14ac:dyDescent="0.3">
      <c r="A13" s="3"/>
      <c r="B13" s="3"/>
      <c r="C13" s="3"/>
      <c r="D13" s="3"/>
      <c r="E13" s="4"/>
    </row>
    <row r="14" spans="1:5" x14ac:dyDescent="0.3">
      <c r="A14" s="3"/>
      <c r="B14" s="3"/>
      <c r="C14" s="3"/>
      <c r="D14" s="3"/>
      <c r="E14" s="4"/>
    </row>
    <row r="15" spans="1:5" x14ac:dyDescent="0.3">
      <c r="A15" s="3"/>
      <c r="B15" s="3"/>
      <c r="C15" s="3"/>
      <c r="D15" s="3"/>
      <c r="E15" s="4"/>
    </row>
    <row r="16" spans="1:5" x14ac:dyDescent="0.3">
      <c r="A16" s="3"/>
      <c r="B16" s="3"/>
      <c r="C16" s="3"/>
      <c r="D16" s="3"/>
      <c r="E16" s="4"/>
    </row>
    <row r="17" spans="1:5" x14ac:dyDescent="0.3">
      <c r="A17" s="3"/>
      <c r="B17" s="3"/>
      <c r="C17" s="3"/>
      <c r="D17" s="3"/>
      <c r="E17" s="3"/>
    </row>
  </sheetData>
  <hyperlinks>
    <hyperlink ref="E3" r:id="rId1" xr:uid="{6EB8E4BD-B940-48E6-A6CE-4F11C1A8510E}"/>
    <hyperlink ref="E2" r:id="rId2" display="Condition model - EHDS Logical Information Models v1.0.0" xr:uid="{F95A6B3D-7F5D-4E74-8C6D-B30290D6ED58}"/>
    <hyperlink ref="E7" r:id="rId3" xr:uid="{612DD86C-3891-43E3-B27A-AA6071C8917D}"/>
    <hyperlink ref="E6" r:id="rId4" xr:uid="{104C1F39-D7B8-4AE4-9031-EE6CE3C7F3A7}"/>
    <hyperlink ref="E5" r:id="rId5" xr:uid="{B27B79EC-18DD-4070-9630-609E711CCC3B}"/>
    <hyperlink ref="E8" r:id="rId6" xr:uid="{20F24860-A30F-4C37-9DE0-9FABA5DC318C}"/>
    <hyperlink ref="E4" r:id="rId7" display="https://ckm.openehr.org/ckm/archetypes/1013.1.169" xr:uid="{6DB1F6B2-19D1-473C-A11F-4BEC97E8171B}"/>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O59"/>
  <sheetViews>
    <sheetView showFormulas="1" tabSelected="1" topLeftCell="C17" zoomScale="70" zoomScaleNormal="70" workbookViewId="0">
      <selection activeCell="E22" sqref="E22"/>
    </sheetView>
  </sheetViews>
  <sheetFormatPr defaultRowHeight="14.4" x14ac:dyDescent="0.3"/>
  <cols>
    <col min="1" max="1" width="11.44140625" customWidth="1"/>
    <col min="2" max="2" width="29.33203125" customWidth="1"/>
    <col min="3" max="3" width="24.6640625" customWidth="1"/>
    <col min="4" max="4" width="87.44140625" style="3" customWidth="1"/>
    <col min="5" max="5" width="26.109375" style="3" customWidth="1"/>
    <col min="6" max="6" width="18.6640625" customWidth="1"/>
    <col min="7" max="7" width="5.44140625" customWidth="1"/>
    <col min="8" max="8" width="32.44140625" customWidth="1"/>
    <col min="9" max="9" width="28.109375" customWidth="1"/>
    <col min="10" max="10" width="51.33203125" customWidth="1"/>
    <col min="11" max="11" width="38.5546875" bestFit="1" customWidth="1"/>
    <col min="12" max="13" width="38.5546875" customWidth="1"/>
    <col min="14" max="14" width="13.109375" bestFit="1" customWidth="1"/>
  </cols>
  <sheetData>
    <row r="1" spans="1:15" ht="99.75" customHeight="1" x14ac:dyDescent="0.3"/>
    <row r="2" spans="1:15" x14ac:dyDescent="0.3">
      <c r="A2" t="s">
        <v>80</v>
      </c>
      <c r="B2" t="s">
        <v>81</v>
      </c>
      <c r="C2" t="s">
        <v>82</v>
      </c>
      <c r="D2" s="10" t="s">
        <v>83</v>
      </c>
      <c r="E2" s="10" t="s">
        <v>84</v>
      </c>
      <c r="F2" s="2" t="s">
        <v>85</v>
      </c>
      <c r="G2" s="2" t="s">
        <v>86</v>
      </c>
      <c r="H2" s="2" t="s">
        <v>87</v>
      </c>
      <c r="I2" s="11" t="s">
        <v>88</v>
      </c>
      <c r="J2" s="11" t="s">
        <v>89</v>
      </c>
      <c r="K2" s="2" t="s">
        <v>90</v>
      </c>
      <c r="L2" s="2" t="s">
        <v>91</v>
      </c>
      <c r="M2" s="2" t="s">
        <v>92</v>
      </c>
      <c r="N2" s="2" t="s">
        <v>93</v>
      </c>
    </row>
    <row r="3" spans="1:15" ht="71.25" customHeight="1" x14ac:dyDescent="0.3">
      <c r="A3" s="1" t="s">
        <v>94</v>
      </c>
      <c r="B3" s="19" t="s">
        <v>95</v>
      </c>
      <c r="C3" s="19"/>
      <c r="D3" s="1" t="s">
        <v>96</v>
      </c>
      <c r="E3" s="1" t="s">
        <v>97</v>
      </c>
      <c r="F3" s="1" t="s">
        <v>98</v>
      </c>
      <c r="G3" s="1" t="s">
        <v>99</v>
      </c>
      <c r="H3" s="1" t="s">
        <v>100</v>
      </c>
    </row>
    <row r="4" spans="1:15" ht="158.4" x14ac:dyDescent="0.3">
      <c r="A4" s="21" t="s">
        <v>101</v>
      </c>
      <c r="B4" s="20" t="s">
        <v>102</v>
      </c>
      <c r="C4" s="20"/>
      <c r="D4" s="21"/>
      <c r="E4" s="21"/>
      <c r="F4" s="21"/>
      <c r="G4" s="21"/>
      <c r="H4" s="21"/>
      <c r="I4" s="3" t="s">
        <v>103</v>
      </c>
      <c r="J4" s="3" t="s">
        <v>104</v>
      </c>
      <c r="K4" s="21" t="s">
        <v>337</v>
      </c>
      <c r="L4" s="21" t="s">
        <v>337</v>
      </c>
      <c r="M4" s="21" t="s">
        <v>337</v>
      </c>
      <c r="N4" s="21"/>
      <c r="O4" s="9"/>
    </row>
    <row r="5" spans="1:15" x14ac:dyDescent="0.3">
      <c r="A5" s="21" t="s">
        <v>106</v>
      </c>
      <c r="C5" s="40" t="s">
        <v>107</v>
      </c>
      <c r="D5" s="3" t="s">
        <v>332</v>
      </c>
      <c r="E5" s="3" t="s">
        <v>108</v>
      </c>
      <c r="F5" s="3" t="s">
        <v>109</v>
      </c>
      <c r="G5" s="3"/>
      <c r="H5" s="3" t="s">
        <v>110</v>
      </c>
      <c r="I5" s="3"/>
      <c r="J5" s="3"/>
      <c r="K5" s="3"/>
      <c r="L5" s="3"/>
      <c r="M5" s="3"/>
      <c r="N5" s="3"/>
    </row>
    <row r="6" spans="1:15" ht="43.2" x14ac:dyDescent="0.3">
      <c r="A6" s="21" t="s">
        <v>111</v>
      </c>
      <c r="B6" s="8"/>
      <c r="C6" s="8" t="s">
        <v>112</v>
      </c>
      <c r="D6" s="3" t="s">
        <v>334</v>
      </c>
      <c r="E6" s="3" t="s">
        <v>113</v>
      </c>
      <c r="F6" s="3" t="s">
        <v>109</v>
      </c>
      <c r="G6" s="3"/>
      <c r="H6" s="3" t="s">
        <v>114</v>
      </c>
      <c r="I6" s="3"/>
      <c r="J6" s="3"/>
      <c r="K6" s="3"/>
      <c r="L6" s="3"/>
      <c r="M6" s="3"/>
      <c r="N6" s="3"/>
    </row>
    <row r="7" spans="1:15" ht="28.8" x14ac:dyDescent="0.3">
      <c r="A7" s="21" t="s">
        <v>115</v>
      </c>
      <c r="B7" s="8"/>
      <c r="C7" s="8" t="s">
        <v>107</v>
      </c>
      <c r="D7" s="3" t="s">
        <v>335</v>
      </c>
      <c r="E7" s="3" t="s">
        <v>333</v>
      </c>
      <c r="F7" s="3" t="s">
        <v>109</v>
      </c>
      <c r="G7" s="3"/>
      <c r="H7" s="3" t="s">
        <v>60</v>
      </c>
      <c r="I7" s="3"/>
      <c r="J7" s="3"/>
      <c r="K7" s="3"/>
      <c r="L7" s="3"/>
      <c r="M7" s="3"/>
      <c r="N7" s="3"/>
    </row>
    <row r="8" spans="1:15" ht="86.4" x14ac:dyDescent="0.3">
      <c r="A8" s="39" t="s">
        <v>336</v>
      </c>
      <c r="B8" s="40"/>
      <c r="C8" s="8" t="s">
        <v>308</v>
      </c>
      <c r="D8" s="3" t="s">
        <v>361</v>
      </c>
      <c r="E8" s="3" t="s">
        <v>108</v>
      </c>
      <c r="F8" s="3" t="s">
        <v>109</v>
      </c>
      <c r="G8" s="3"/>
      <c r="H8" s="3" t="s">
        <v>360</v>
      </c>
      <c r="I8" s="3"/>
      <c r="J8" s="3"/>
      <c r="K8" s="3"/>
      <c r="L8" s="3"/>
      <c r="M8" s="3"/>
      <c r="N8" s="3"/>
    </row>
    <row r="9" spans="1:15" ht="28.8" x14ac:dyDescent="0.3">
      <c r="A9" s="9" t="s">
        <v>116</v>
      </c>
      <c r="B9" s="28" t="s">
        <v>331</v>
      </c>
      <c r="C9" s="8"/>
      <c r="D9" s="3" t="s">
        <v>362</v>
      </c>
      <c r="F9" s="3"/>
      <c r="G9" s="3"/>
      <c r="H9" s="3"/>
      <c r="I9" s="3"/>
      <c r="J9" s="3"/>
      <c r="K9" s="3"/>
      <c r="L9" s="3"/>
      <c r="M9" s="3"/>
      <c r="N9" s="3"/>
    </row>
    <row r="10" spans="1:15" ht="43.2" x14ac:dyDescent="0.3">
      <c r="A10" s="21" t="s">
        <v>119</v>
      </c>
      <c r="C10" s="41" t="s">
        <v>120</v>
      </c>
      <c r="D10" s="3" t="s">
        <v>121</v>
      </c>
      <c r="F10" s="3" t="s">
        <v>122</v>
      </c>
      <c r="G10" s="3"/>
      <c r="H10" s="3" t="s">
        <v>110</v>
      </c>
      <c r="I10" s="3" t="s">
        <v>117</v>
      </c>
      <c r="J10" s="3" t="s">
        <v>118</v>
      </c>
      <c r="K10" s="3" t="s">
        <v>105</v>
      </c>
      <c r="L10" s="3" t="s">
        <v>338</v>
      </c>
      <c r="M10" s="3"/>
      <c r="N10" s="3"/>
    </row>
    <row r="11" spans="1:15" ht="28.8" x14ac:dyDescent="0.3">
      <c r="A11" s="21" t="s">
        <v>123</v>
      </c>
      <c r="B11" s="3"/>
      <c r="C11" s="3" t="s">
        <v>124</v>
      </c>
      <c r="D11" s="3" t="s">
        <v>125</v>
      </c>
      <c r="F11" s="3" t="s">
        <v>126</v>
      </c>
      <c r="G11" s="3"/>
      <c r="H11" s="3" t="s">
        <v>127</v>
      </c>
      <c r="I11" s="3"/>
      <c r="J11" s="3"/>
      <c r="K11" s="3"/>
      <c r="L11" s="3" t="s">
        <v>338</v>
      </c>
      <c r="M11" s="3"/>
      <c r="N11" s="3"/>
    </row>
    <row r="12" spans="1:15" ht="72" x14ac:dyDescent="0.3">
      <c r="A12" s="21" t="s">
        <v>128</v>
      </c>
      <c r="B12" s="10" t="s">
        <v>377</v>
      </c>
      <c r="C12" s="10"/>
      <c r="D12" s="3" t="s">
        <v>363</v>
      </c>
      <c r="F12" s="3" t="s">
        <v>129</v>
      </c>
      <c r="G12" s="3"/>
      <c r="H12" s="3" t="s">
        <v>110</v>
      </c>
      <c r="I12" s="3" t="s">
        <v>359</v>
      </c>
      <c r="J12" s="25" t="s">
        <v>130</v>
      </c>
      <c r="K12" s="3" t="s">
        <v>354</v>
      </c>
      <c r="L12" s="3" t="s">
        <v>353</v>
      </c>
      <c r="M12" s="3"/>
      <c r="N12" s="3"/>
    </row>
    <row r="13" spans="1:15" ht="100.8" x14ac:dyDescent="0.3">
      <c r="A13" s="21" t="s">
        <v>131</v>
      </c>
      <c r="B13" s="3" t="s">
        <v>132</v>
      </c>
      <c r="C13" s="3" t="s">
        <v>133</v>
      </c>
      <c r="D13" s="3" t="s">
        <v>365</v>
      </c>
      <c r="E13" s="3" t="s">
        <v>134</v>
      </c>
      <c r="F13" s="3"/>
      <c r="G13" s="3"/>
      <c r="H13" s="3" t="s">
        <v>357</v>
      </c>
      <c r="I13" s="3" t="s">
        <v>135</v>
      </c>
      <c r="J13" s="3" t="s">
        <v>136</v>
      </c>
      <c r="K13" s="3" t="s">
        <v>105</v>
      </c>
      <c r="L13" s="3" t="s">
        <v>338</v>
      </c>
      <c r="M13" s="3"/>
      <c r="N13" s="3"/>
    </row>
    <row r="14" spans="1:15" ht="141.75" customHeight="1" x14ac:dyDescent="0.3">
      <c r="A14" s="21" t="s">
        <v>137</v>
      </c>
      <c r="B14" s="3" t="s">
        <v>138</v>
      </c>
      <c r="C14" s="3" t="s">
        <v>139</v>
      </c>
      <c r="D14" s="3" t="s">
        <v>364</v>
      </c>
      <c r="E14" s="3" t="s">
        <v>140</v>
      </c>
      <c r="F14" s="3"/>
      <c r="G14" s="3"/>
      <c r="H14" s="3" t="s">
        <v>358</v>
      </c>
      <c r="I14" s="3" t="s">
        <v>141</v>
      </c>
      <c r="J14" s="3" t="s">
        <v>136</v>
      </c>
      <c r="K14" s="3" t="s">
        <v>105</v>
      </c>
      <c r="L14" s="3" t="s">
        <v>338</v>
      </c>
      <c r="M14" s="3"/>
      <c r="N14" s="3"/>
    </row>
    <row r="15" spans="1:15" x14ac:dyDescent="0.3">
      <c r="A15" s="21" t="s">
        <v>142</v>
      </c>
      <c r="B15" s="3" t="s">
        <v>143</v>
      </c>
      <c r="C15" s="3" t="s">
        <v>144</v>
      </c>
      <c r="D15" s="3" t="s">
        <v>349</v>
      </c>
      <c r="E15" s="3" t="s">
        <v>145</v>
      </c>
      <c r="F15" s="3"/>
      <c r="G15" s="3"/>
      <c r="H15" s="3" t="s">
        <v>110</v>
      </c>
      <c r="I15" s="3" t="s">
        <v>105</v>
      </c>
      <c r="J15" s="3" t="s">
        <v>136</v>
      </c>
      <c r="K15" s="3" t="s">
        <v>105</v>
      </c>
      <c r="L15" s="3"/>
      <c r="M15" s="3"/>
      <c r="N15" s="3"/>
    </row>
    <row r="16" spans="1:15" ht="135" customHeight="1" x14ac:dyDescent="0.3">
      <c r="A16" s="39" t="s">
        <v>339</v>
      </c>
      <c r="B16" s="41" t="s">
        <v>340</v>
      </c>
      <c r="C16" s="3" t="s">
        <v>341</v>
      </c>
      <c r="D16" s="25" t="s">
        <v>366</v>
      </c>
      <c r="E16" s="3" t="s">
        <v>345</v>
      </c>
      <c r="F16" s="3"/>
      <c r="G16" s="3"/>
      <c r="H16" s="3" t="s">
        <v>356</v>
      </c>
      <c r="I16" s="3" t="s">
        <v>342</v>
      </c>
      <c r="J16" s="3" t="s">
        <v>342</v>
      </c>
      <c r="K16" s="3" t="s">
        <v>105</v>
      </c>
      <c r="L16" s="3"/>
      <c r="M16" s="3"/>
      <c r="N16" s="3"/>
    </row>
    <row r="17" spans="1:14" x14ac:dyDescent="0.3">
      <c r="A17" s="9" t="s">
        <v>146</v>
      </c>
      <c r="B17" s="24" t="s">
        <v>367</v>
      </c>
      <c r="C17" s="3"/>
      <c r="F17" s="3"/>
      <c r="G17" s="3"/>
      <c r="H17" s="3"/>
      <c r="I17" s="3"/>
      <c r="J17" s="3"/>
      <c r="K17" s="3"/>
      <c r="L17" s="3"/>
      <c r="M17" s="3"/>
      <c r="N17" s="3"/>
    </row>
    <row r="18" spans="1:14" ht="54.75" customHeight="1" x14ac:dyDescent="0.3">
      <c r="A18" s="21" t="s">
        <v>147</v>
      </c>
      <c r="B18" s="3"/>
      <c r="C18" s="41" t="s">
        <v>148</v>
      </c>
      <c r="D18" s="3" t="s">
        <v>368</v>
      </c>
      <c r="E18" s="3" t="s">
        <v>149</v>
      </c>
      <c r="F18" s="3" t="s">
        <v>150</v>
      </c>
      <c r="G18" s="3"/>
      <c r="H18" s="3" t="s">
        <v>110</v>
      </c>
      <c r="I18" s="3" t="s">
        <v>151</v>
      </c>
      <c r="J18" s="34" t="s">
        <v>152</v>
      </c>
      <c r="K18" s="3" t="s">
        <v>105</v>
      </c>
      <c r="L18" s="3"/>
      <c r="M18" s="3"/>
      <c r="N18" s="3"/>
    </row>
    <row r="19" spans="1:14" ht="57.6" x14ac:dyDescent="0.3">
      <c r="A19" s="21" t="s">
        <v>153</v>
      </c>
      <c r="B19" s="3"/>
      <c r="C19" s="3" t="s">
        <v>371</v>
      </c>
      <c r="D19" s="3" t="s">
        <v>375</v>
      </c>
      <c r="E19" s="3" t="s">
        <v>373</v>
      </c>
      <c r="F19" s="3" t="s">
        <v>109</v>
      </c>
      <c r="G19" s="3"/>
      <c r="H19" s="3" t="s">
        <v>374</v>
      </c>
      <c r="I19" s="3"/>
      <c r="J19" s="3"/>
      <c r="K19" s="3"/>
      <c r="L19" s="3"/>
      <c r="M19" s="3"/>
      <c r="N19" s="3"/>
    </row>
    <row r="20" spans="1:14" x14ac:dyDescent="0.3">
      <c r="A20" s="9" t="s">
        <v>155</v>
      </c>
      <c r="B20" s="24" t="s">
        <v>156</v>
      </c>
      <c r="C20" s="3"/>
      <c r="D20" s="3" t="s">
        <v>157</v>
      </c>
      <c r="F20" s="3"/>
      <c r="G20" s="3"/>
      <c r="H20" s="3"/>
      <c r="I20" s="3"/>
      <c r="J20" s="3"/>
      <c r="K20" s="3"/>
      <c r="L20" s="3"/>
      <c r="M20" s="3"/>
      <c r="N20" s="3"/>
    </row>
    <row r="21" spans="1:14" ht="72" x14ac:dyDescent="0.3">
      <c r="A21" s="21" t="s">
        <v>162</v>
      </c>
      <c r="C21" s="41" t="s">
        <v>158</v>
      </c>
      <c r="D21" s="3" t="s">
        <v>382</v>
      </c>
      <c r="E21" s="45" t="s">
        <v>383</v>
      </c>
      <c r="F21" s="3" t="s">
        <v>109</v>
      </c>
      <c r="G21" s="3"/>
      <c r="H21" s="3" t="s">
        <v>110</v>
      </c>
      <c r="I21" s="3" t="s">
        <v>159</v>
      </c>
      <c r="J21" s="3" t="s">
        <v>160</v>
      </c>
      <c r="K21" s="3" t="s">
        <v>161</v>
      </c>
      <c r="L21" s="3"/>
      <c r="M21" s="3"/>
      <c r="N21" s="3"/>
    </row>
    <row r="22" spans="1:14" ht="86.4" x14ac:dyDescent="0.3">
      <c r="A22" s="21" t="s">
        <v>165</v>
      </c>
      <c r="C22" s="3" t="s">
        <v>158</v>
      </c>
      <c r="D22" s="3" t="s">
        <v>163</v>
      </c>
      <c r="E22" s="10" t="s">
        <v>384</v>
      </c>
      <c r="F22" s="3" t="s">
        <v>109</v>
      </c>
      <c r="G22" s="3"/>
      <c r="H22" s="3" t="s">
        <v>164</v>
      </c>
      <c r="I22" s="3"/>
      <c r="J22" s="3"/>
      <c r="K22" s="3"/>
      <c r="L22" s="3"/>
      <c r="M22" s="3"/>
      <c r="N22" s="3"/>
    </row>
    <row r="23" spans="1:14" x14ac:dyDescent="0.3">
      <c r="A23" s="21" t="s">
        <v>166</v>
      </c>
      <c r="B23" s="10" t="s">
        <v>378</v>
      </c>
      <c r="C23" s="10"/>
      <c r="F23" s="3"/>
      <c r="G23" s="3"/>
      <c r="H23" s="3"/>
      <c r="I23" s="3"/>
      <c r="J23" s="25"/>
      <c r="K23" s="3"/>
      <c r="L23" s="44"/>
      <c r="M23" s="3"/>
      <c r="N23" s="3"/>
    </row>
    <row r="24" spans="1:14" ht="57.6" x14ac:dyDescent="0.3">
      <c r="A24" s="39"/>
      <c r="B24" s="41"/>
      <c r="C24" s="25" t="s">
        <v>380</v>
      </c>
      <c r="D24" s="3" t="s">
        <v>167</v>
      </c>
      <c r="E24" s="3" t="s">
        <v>168</v>
      </c>
      <c r="F24" s="3" t="s">
        <v>150</v>
      </c>
      <c r="G24" s="3"/>
      <c r="H24" s="3" t="s">
        <v>110</v>
      </c>
      <c r="I24" s="3" t="s">
        <v>350</v>
      </c>
      <c r="J24" s="25" t="s">
        <v>169</v>
      </c>
      <c r="K24" s="3" t="s">
        <v>352</v>
      </c>
      <c r="L24" s="44" t="s">
        <v>351</v>
      </c>
      <c r="M24" s="3"/>
      <c r="N24" s="3"/>
    </row>
    <row r="25" spans="1:14" ht="57.6" x14ac:dyDescent="0.3">
      <c r="A25" s="39" t="s">
        <v>346</v>
      </c>
      <c r="B25" s="41"/>
      <c r="C25" s="44" t="s">
        <v>348</v>
      </c>
      <c r="D25" s="3" t="s">
        <v>347</v>
      </c>
      <c r="F25" s="3"/>
      <c r="G25" s="3"/>
      <c r="H25" s="3" t="s">
        <v>355</v>
      </c>
      <c r="I25" s="3"/>
      <c r="J25" s="25"/>
      <c r="K25" s="3"/>
      <c r="L25" s="3"/>
      <c r="M25" s="3"/>
      <c r="N25" s="3"/>
    </row>
    <row r="26" spans="1:14" ht="43.2" x14ac:dyDescent="0.3">
      <c r="A26" s="21" t="s">
        <v>170</v>
      </c>
      <c r="B26" s="10" t="s">
        <v>379</v>
      </c>
      <c r="C26" s="10"/>
      <c r="D26" s="3" t="s">
        <v>171</v>
      </c>
      <c r="E26" s="3" t="s">
        <v>172</v>
      </c>
      <c r="F26" s="3" t="s">
        <v>150</v>
      </c>
      <c r="G26" s="3"/>
      <c r="H26" s="3" t="s">
        <v>110</v>
      </c>
      <c r="I26" s="3" t="s">
        <v>173</v>
      </c>
      <c r="J26" s="3" t="s">
        <v>174</v>
      </c>
      <c r="K26" s="3" t="s">
        <v>105</v>
      </c>
      <c r="L26" s="3"/>
      <c r="M26" s="3"/>
      <c r="N26" s="3"/>
    </row>
    <row r="27" spans="1:14" x14ac:dyDescent="0.3">
      <c r="A27" s="21" t="s">
        <v>175</v>
      </c>
      <c r="B27" s="24" t="s">
        <v>176</v>
      </c>
      <c r="C27" s="24"/>
      <c r="F27" s="3"/>
      <c r="G27" s="3"/>
      <c r="H27" s="3"/>
      <c r="I27" s="3" t="s">
        <v>177</v>
      </c>
      <c r="J27" s="3" t="s">
        <v>178</v>
      </c>
      <c r="K27" s="3" t="s">
        <v>179</v>
      </c>
      <c r="L27" s="3"/>
      <c r="M27" s="3"/>
      <c r="N27" s="3"/>
    </row>
    <row r="28" spans="1:14" ht="47.25" customHeight="1" x14ac:dyDescent="0.3">
      <c r="A28" s="21" t="s">
        <v>180</v>
      </c>
      <c r="B28" s="3"/>
      <c r="C28" s="3" t="s">
        <v>181</v>
      </c>
      <c r="D28" s="3" t="s">
        <v>182</v>
      </c>
      <c r="E28" s="3" t="s">
        <v>183</v>
      </c>
      <c r="F28" s="3" t="s">
        <v>109</v>
      </c>
      <c r="G28" s="3"/>
      <c r="H28" s="3" t="s">
        <v>110</v>
      </c>
      <c r="I28" s="3"/>
      <c r="N28" s="3"/>
    </row>
    <row r="29" spans="1:14" ht="27.75" customHeight="1" x14ac:dyDescent="0.3">
      <c r="A29" s="21" t="s">
        <v>184</v>
      </c>
      <c r="B29" s="3"/>
      <c r="C29" s="3" t="s">
        <v>185</v>
      </c>
      <c r="D29" s="3" t="s">
        <v>186</v>
      </c>
      <c r="E29" s="3" t="s">
        <v>187</v>
      </c>
      <c r="F29" s="3" t="s">
        <v>109</v>
      </c>
      <c r="G29" s="3"/>
      <c r="H29" s="3" t="s">
        <v>114</v>
      </c>
      <c r="I29" s="3"/>
      <c r="J29" s="3"/>
      <c r="K29" s="3"/>
      <c r="L29" s="3"/>
      <c r="M29" s="3"/>
      <c r="N29" s="3"/>
    </row>
    <row r="30" spans="1:14" ht="32.25" customHeight="1" x14ac:dyDescent="0.3">
      <c r="A30" s="21" t="s">
        <v>188</v>
      </c>
      <c r="B30" s="3"/>
      <c r="C30" s="3" t="s">
        <v>189</v>
      </c>
      <c r="D30" s="3" t="s">
        <v>190</v>
      </c>
      <c r="E30" s="3" t="s">
        <v>191</v>
      </c>
      <c r="F30" s="3" t="s">
        <v>109</v>
      </c>
      <c r="G30" s="3"/>
      <c r="H30" s="3" t="s">
        <v>192</v>
      </c>
      <c r="I30" s="3"/>
      <c r="J30" s="3"/>
      <c r="K30" s="3"/>
      <c r="L30" s="3"/>
      <c r="M30" s="3"/>
      <c r="N30" s="3"/>
    </row>
    <row r="31" spans="1:14" ht="30" customHeight="1" x14ac:dyDescent="0.3">
      <c r="A31" s="21" t="s">
        <v>193</v>
      </c>
      <c r="B31" s="3"/>
      <c r="C31" s="3" t="s">
        <v>194</v>
      </c>
      <c r="D31" s="3" t="s">
        <v>195</v>
      </c>
      <c r="E31" s="3" t="s">
        <v>196</v>
      </c>
      <c r="F31" s="3" t="s">
        <v>150</v>
      </c>
      <c r="G31" s="3"/>
      <c r="H31" s="3" t="s">
        <v>127</v>
      </c>
      <c r="I31" s="3"/>
      <c r="J31" s="3"/>
      <c r="K31" s="3"/>
      <c r="L31" s="3"/>
      <c r="M31" s="3"/>
      <c r="N31" s="3"/>
    </row>
    <row r="32" spans="1:14" ht="37.5" customHeight="1" x14ac:dyDescent="0.3">
      <c r="A32" s="9" t="s">
        <v>197</v>
      </c>
      <c r="B32" s="10" t="s">
        <v>198</v>
      </c>
      <c r="C32" s="10"/>
      <c r="D32" s="3" t="s">
        <v>199</v>
      </c>
      <c r="F32" s="3"/>
      <c r="G32" s="3" t="s">
        <v>200</v>
      </c>
      <c r="H32" s="3"/>
      <c r="I32" s="3" t="s">
        <v>201</v>
      </c>
      <c r="J32" s="3" t="s">
        <v>202</v>
      </c>
      <c r="K32" s="3" t="s">
        <v>203</v>
      </c>
      <c r="L32" s="3"/>
      <c r="M32" s="3"/>
      <c r="N32" s="3"/>
    </row>
    <row r="33" spans="1:14" x14ac:dyDescent="0.3">
      <c r="A33" s="21" t="s">
        <v>204</v>
      </c>
      <c r="B33" s="3"/>
      <c r="C33" s="3" t="s">
        <v>205</v>
      </c>
      <c r="D33" s="3" t="s">
        <v>206</v>
      </c>
      <c r="E33" s="3" t="s">
        <v>149</v>
      </c>
      <c r="F33" s="3" t="s">
        <v>150</v>
      </c>
      <c r="G33" s="3"/>
      <c r="H33" s="3" t="s">
        <v>110</v>
      </c>
      <c r="N33" s="3"/>
    </row>
    <row r="34" spans="1:14" ht="57.6" x14ac:dyDescent="0.3">
      <c r="A34" s="21" t="s">
        <v>207</v>
      </c>
      <c r="B34" s="3"/>
      <c r="C34" s="3" t="s">
        <v>208</v>
      </c>
      <c r="D34" s="3" t="s">
        <v>209</v>
      </c>
      <c r="E34" s="3" t="s">
        <v>154</v>
      </c>
      <c r="F34" s="3" t="s">
        <v>150</v>
      </c>
      <c r="G34" s="3"/>
      <c r="H34" s="3" t="s">
        <v>210</v>
      </c>
      <c r="I34" s="3"/>
      <c r="J34" s="33"/>
      <c r="K34" s="3"/>
      <c r="L34" s="3"/>
      <c r="M34" s="3"/>
      <c r="N34" s="3"/>
    </row>
    <row r="35" spans="1:14" ht="115.2" x14ac:dyDescent="0.3">
      <c r="A35" s="9" t="s">
        <v>211</v>
      </c>
      <c r="B35" s="3"/>
      <c r="C35" s="3" t="s">
        <v>372</v>
      </c>
      <c r="D35" s="3" t="s">
        <v>369</v>
      </c>
      <c r="E35" s="3" t="s">
        <v>373</v>
      </c>
      <c r="F35" s="3" t="s">
        <v>109</v>
      </c>
      <c r="G35" s="3"/>
      <c r="H35" s="3" t="s">
        <v>370</v>
      </c>
      <c r="I35" s="3"/>
      <c r="J35" s="3"/>
      <c r="K35" s="3"/>
      <c r="L35" s="3"/>
      <c r="M35" s="3"/>
      <c r="N35" s="3"/>
    </row>
    <row r="36" spans="1:14" ht="28.8" x14ac:dyDescent="0.3">
      <c r="A36" s="9" t="s">
        <v>212</v>
      </c>
      <c r="B36" s="10" t="s">
        <v>213</v>
      </c>
      <c r="C36" s="10"/>
      <c r="D36" s="3" t="s">
        <v>214</v>
      </c>
      <c r="F36" s="3"/>
      <c r="G36" s="3" t="s">
        <v>215</v>
      </c>
      <c r="H36" s="3"/>
      <c r="I36" s="3" t="s">
        <v>216</v>
      </c>
      <c r="J36" s="3" t="s">
        <v>217</v>
      </c>
      <c r="K36" s="3"/>
      <c r="L36" s="3"/>
      <c r="M36" s="3"/>
      <c r="N36" s="3"/>
    </row>
    <row r="37" spans="1:14" x14ac:dyDescent="0.3">
      <c r="A37" s="21" t="s">
        <v>218</v>
      </c>
      <c r="B37" s="3"/>
      <c r="C37" s="3" t="s">
        <v>219</v>
      </c>
      <c r="D37" s="3" t="s">
        <v>220</v>
      </c>
      <c r="E37" s="3" t="s">
        <v>149</v>
      </c>
      <c r="F37" s="3" t="s">
        <v>150</v>
      </c>
      <c r="G37" s="3"/>
      <c r="H37" s="3" t="s">
        <v>110</v>
      </c>
      <c r="K37" s="3" t="s">
        <v>221</v>
      </c>
      <c r="L37" s="3"/>
      <c r="M37" s="3"/>
      <c r="N37" s="3"/>
    </row>
    <row r="38" spans="1:14" ht="43.2" x14ac:dyDescent="0.3">
      <c r="A38" s="21" t="s">
        <v>222</v>
      </c>
      <c r="B38" s="3"/>
      <c r="C38" s="3" t="s">
        <v>223</v>
      </c>
      <c r="D38" s="3" t="s">
        <v>224</v>
      </c>
      <c r="E38" s="3" t="s">
        <v>154</v>
      </c>
      <c r="F38" s="3" t="s">
        <v>150</v>
      </c>
      <c r="G38" s="3"/>
      <c r="H38" s="3" t="s">
        <v>225</v>
      </c>
      <c r="I38" s="3"/>
      <c r="J38" s="3"/>
      <c r="K38" s="3"/>
      <c r="L38" s="3"/>
      <c r="M38" s="3"/>
      <c r="N38" s="3"/>
    </row>
    <row r="39" spans="1:14" ht="31.95" customHeight="1" x14ac:dyDescent="0.3">
      <c r="A39" s="9" t="s">
        <v>226</v>
      </c>
      <c r="B39" s="3"/>
      <c r="C39" s="37" t="s">
        <v>227</v>
      </c>
      <c r="D39" s="27" t="s">
        <v>228</v>
      </c>
      <c r="F39" s="3"/>
      <c r="G39" s="3"/>
      <c r="H39" s="3" t="s">
        <v>127</v>
      </c>
      <c r="I39" s="3"/>
      <c r="J39" s="3"/>
      <c r="K39" s="3"/>
      <c r="L39" s="3"/>
      <c r="M39" s="3"/>
      <c r="N39" s="3"/>
    </row>
    <row r="40" spans="1:14" ht="43.2" x14ac:dyDescent="0.3">
      <c r="A40" s="21" t="s">
        <v>229</v>
      </c>
      <c r="B40" s="10" t="s">
        <v>230</v>
      </c>
      <c r="C40" s="10"/>
      <c r="D40" s="3" t="s">
        <v>231</v>
      </c>
      <c r="E40" s="3" t="s">
        <v>168</v>
      </c>
      <c r="F40" s="3" t="s">
        <v>122</v>
      </c>
      <c r="G40" s="3"/>
      <c r="H40" s="3" t="s">
        <v>110</v>
      </c>
      <c r="I40" s="3" t="s">
        <v>232</v>
      </c>
      <c r="J40" s="22" t="s">
        <v>233</v>
      </c>
      <c r="K40" s="3"/>
      <c r="L40" s="3"/>
      <c r="M40" s="3"/>
      <c r="N40" s="3"/>
    </row>
    <row r="41" spans="1:14" ht="28.8" x14ac:dyDescent="0.3">
      <c r="A41" s="21" t="s">
        <v>234</v>
      </c>
      <c r="B41" s="10" t="s">
        <v>235</v>
      </c>
      <c r="C41" s="10"/>
      <c r="D41" s="3" t="s">
        <v>236</v>
      </c>
      <c r="E41" s="3" t="s">
        <v>237</v>
      </c>
      <c r="F41" s="3" t="s">
        <v>150</v>
      </c>
      <c r="G41" s="3"/>
      <c r="H41" s="3" t="s">
        <v>110</v>
      </c>
      <c r="I41" s="35" t="s">
        <v>238</v>
      </c>
      <c r="J41" s="35" t="s">
        <v>239</v>
      </c>
      <c r="K41" s="3"/>
      <c r="L41" s="3"/>
      <c r="M41" s="3"/>
      <c r="N41" s="3"/>
    </row>
    <row r="42" spans="1:14" ht="37.5" customHeight="1" x14ac:dyDescent="0.3">
      <c r="A42" s="21" t="s">
        <v>240</v>
      </c>
      <c r="B42" s="10" t="s">
        <v>241</v>
      </c>
      <c r="C42" s="10"/>
      <c r="D42" s="3" t="s">
        <v>242</v>
      </c>
      <c r="E42" s="3" t="s">
        <v>243</v>
      </c>
      <c r="F42" s="3" t="s">
        <v>150</v>
      </c>
      <c r="G42" s="3" t="s">
        <v>244</v>
      </c>
      <c r="H42" s="3" t="s">
        <v>110</v>
      </c>
      <c r="I42" s="3" t="s">
        <v>245</v>
      </c>
      <c r="J42" s="3" t="s">
        <v>246</v>
      </c>
      <c r="K42" s="3"/>
      <c r="L42" s="3"/>
      <c r="M42" s="3"/>
      <c r="N42" s="3"/>
    </row>
    <row r="43" spans="1:14" ht="28.8" x14ac:dyDescent="0.3">
      <c r="A43" s="21" t="s">
        <v>247</v>
      </c>
      <c r="B43" s="10" t="s">
        <v>248</v>
      </c>
      <c r="C43" s="10"/>
      <c r="D43" s="3" t="s">
        <v>249</v>
      </c>
      <c r="E43" s="3" t="s">
        <v>250</v>
      </c>
      <c r="F43" s="3" t="s">
        <v>122</v>
      </c>
      <c r="G43" s="3"/>
      <c r="H43" s="3" t="s">
        <v>110</v>
      </c>
      <c r="I43" s="3" t="s">
        <v>251</v>
      </c>
      <c r="J43" s="3" t="s">
        <v>252</v>
      </c>
      <c r="K43" s="3"/>
      <c r="L43" s="3"/>
      <c r="M43" s="3"/>
      <c r="N43" s="3"/>
    </row>
    <row r="44" spans="1:14" ht="28.8" x14ac:dyDescent="0.3">
      <c r="A44" s="21" t="s">
        <v>253</v>
      </c>
      <c r="B44" s="3"/>
      <c r="C44" s="3" t="s">
        <v>254</v>
      </c>
      <c r="D44" s="3" t="s">
        <v>255</v>
      </c>
      <c r="F44" s="3" t="s">
        <v>150</v>
      </c>
      <c r="G44" s="3"/>
      <c r="H44" s="3" t="s">
        <v>210</v>
      </c>
      <c r="I44" s="3"/>
      <c r="J44" s="3"/>
      <c r="K44" s="3"/>
      <c r="L44" s="3"/>
      <c r="M44" s="3"/>
      <c r="N44" s="3"/>
    </row>
    <row r="45" spans="1:14" ht="28.8" x14ac:dyDescent="0.3">
      <c r="A45" s="21" t="s">
        <v>256</v>
      </c>
      <c r="B45" s="3"/>
      <c r="C45" s="3" t="s">
        <v>257</v>
      </c>
      <c r="D45" s="3" t="s">
        <v>258</v>
      </c>
      <c r="F45" s="3" t="s">
        <v>150</v>
      </c>
      <c r="G45" s="3"/>
      <c r="H45" s="3" t="s">
        <v>210</v>
      </c>
      <c r="I45" s="3"/>
      <c r="J45" s="3"/>
      <c r="K45" s="3"/>
      <c r="L45" s="3"/>
      <c r="M45" s="3"/>
      <c r="N45" s="3"/>
    </row>
    <row r="46" spans="1:14" ht="43.2" x14ac:dyDescent="0.3">
      <c r="A46" s="21" t="s">
        <v>259</v>
      </c>
      <c r="B46" s="10" t="s">
        <v>260</v>
      </c>
      <c r="C46" s="10"/>
      <c r="D46" s="3" t="s">
        <v>261</v>
      </c>
      <c r="E46" s="3" t="s">
        <v>262</v>
      </c>
      <c r="F46" s="3" t="s">
        <v>122</v>
      </c>
      <c r="G46" s="3"/>
      <c r="H46" s="3" t="s">
        <v>110</v>
      </c>
      <c r="I46" s="3" t="s">
        <v>263</v>
      </c>
      <c r="J46" s="26" t="s">
        <v>264</v>
      </c>
      <c r="K46" s="3"/>
      <c r="L46" s="3"/>
      <c r="M46" s="3"/>
      <c r="N46" s="3"/>
    </row>
    <row r="47" spans="1:14" ht="28.8" x14ac:dyDescent="0.3">
      <c r="A47" s="9" t="s">
        <v>265</v>
      </c>
      <c r="B47" s="10" t="s">
        <v>266</v>
      </c>
      <c r="C47" s="10"/>
      <c r="F47" s="3"/>
      <c r="G47" s="3"/>
      <c r="H47" s="3"/>
      <c r="I47" s="3"/>
      <c r="J47" s="26"/>
      <c r="K47" s="3"/>
      <c r="L47" s="3"/>
      <c r="M47" s="3"/>
      <c r="N47" s="3"/>
    </row>
    <row r="48" spans="1:14" ht="28.8" x14ac:dyDescent="0.3">
      <c r="A48" s="21" t="s">
        <v>267</v>
      </c>
      <c r="B48" s="10"/>
      <c r="C48" s="22" t="s">
        <v>268</v>
      </c>
      <c r="D48" s="3" t="s">
        <v>269</v>
      </c>
      <c r="E48" s="3" t="s">
        <v>270</v>
      </c>
      <c r="F48" s="3" t="s">
        <v>150</v>
      </c>
      <c r="G48" s="3"/>
      <c r="H48" s="3" t="s">
        <v>110</v>
      </c>
      <c r="I48" s="3" t="s">
        <v>271</v>
      </c>
      <c r="J48" s="22" t="s">
        <v>272</v>
      </c>
      <c r="K48" s="27" t="s">
        <v>273</v>
      </c>
      <c r="L48" s="27"/>
      <c r="M48" s="27"/>
      <c r="N48" s="3"/>
    </row>
    <row r="49" spans="1:14" x14ac:dyDescent="0.3">
      <c r="A49" s="9" t="s">
        <v>274</v>
      </c>
      <c r="B49" s="3"/>
      <c r="C49" s="22" t="s">
        <v>275</v>
      </c>
      <c r="D49" s="3" t="s">
        <v>276</v>
      </c>
      <c r="E49" s="10" t="s">
        <v>277</v>
      </c>
      <c r="F49" s="3" t="s">
        <v>150</v>
      </c>
      <c r="G49" s="3"/>
      <c r="H49" s="3" t="s">
        <v>210</v>
      </c>
      <c r="I49" s="3"/>
      <c r="J49" s="3"/>
      <c r="K49" s="27"/>
      <c r="L49" s="17"/>
      <c r="M49" s="17"/>
      <c r="N49" s="3"/>
    </row>
    <row r="50" spans="1:14" ht="28.8" x14ac:dyDescent="0.3">
      <c r="A50" s="21" t="s">
        <v>278</v>
      </c>
      <c r="B50" s="10" t="s">
        <v>279</v>
      </c>
      <c r="C50" s="10"/>
      <c r="D50" s="3" t="s">
        <v>280</v>
      </c>
      <c r="E50" s="3" t="s">
        <v>281</v>
      </c>
      <c r="F50" s="3" t="s">
        <v>122</v>
      </c>
      <c r="G50" s="3"/>
      <c r="H50" s="3" t="s">
        <v>110</v>
      </c>
      <c r="I50" s="35" t="s">
        <v>282</v>
      </c>
      <c r="J50" s="22" t="s">
        <v>283</v>
      </c>
      <c r="K50" s="3"/>
      <c r="L50" s="3"/>
      <c r="M50" s="3"/>
      <c r="N50" s="3"/>
    </row>
    <row r="51" spans="1:14" ht="28.8" x14ac:dyDescent="0.3">
      <c r="A51" s="21" t="s">
        <v>284</v>
      </c>
      <c r="B51" s="10" t="s">
        <v>285</v>
      </c>
      <c r="C51" s="10"/>
      <c r="D51" s="3" t="s">
        <v>286</v>
      </c>
      <c r="E51" s="3" t="s">
        <v>287</v>
      </c>
      <c r="F51" s="3" t="s">
        <v>288</v>
      </c>
      <c r="G51" s="3"/>
      <c r="H51" s="3" t="s">
        <v>110</v>
      </c>
      <c r="I51" s="3" t="s">
        <v>289</v>
      </c>
      <c r="J51" s="3" t="s">
        <v>290</v>
      </c>
      <c r="K51" s="3"/>
      <c r="L51" s="3"/>
      <c r="M51" s="3"/>
      <c r="N51" s="3"/>
    </row>
    <row r="52" spans="1:14" ht="27" customHeight="1" x14ac:dyDescent="0.3">
      <c r="A52" s="21" t="s">
        <v>291</v>
      </c>
      <c r="B52" s="29" t="s">
        <v>53</v>
      </c>
      <c r="C52" s="29"/>
      <c r="D52" s="3" t="s">
        <v>292</v>
      </c>
      <c r="E52" s="3" t="s">
        <v>237</v>
      </c>
      <c r="F52" s="3" t="s">
        <v>150</v>
      </c>
      <c r="G52" s="3"/>
      <c r="H52" s="3" t="s">
        <v>210</v>
      </c>
      <c r="I52" s="3" t="s">
        <v>293</v>
      </c>
      <c r="J52" s="3" t="s">
        <v>294</v>
      </c>
      <c r="K52" s="3"/>
      <c r="L52" s="3"/>
      <c r="M52" s="3"/>
      <c r="N52" s="3"/>
    </row>
    <row r="53" spans="1:14" ht="30.75" customHeight="1" x14ac:dyDescent="0.3">
      <c r="A53" s="9" t="s">
        <v>295</v>
      </c>
      <c r="B53" t="s">
        <v>296</v>
      </c>
      <c r="D53" s="23" t="s">
        <v>297</v>
      </c>
      <c r="E53" s="3" t="s">
        <v>298</v>
      </c>
      <c r="H53" t="s">
        <v>299</v>
      </c>
      <c r="I53" t="s">
        <v>300</v>
      </c>
      <c r="J53" t="s">
        <v>301</v>
      </c>
    </row>
    <row r="57" spans="1:14" x14ac:dyDescent="0.3">
      <c r="B57" s="30"/>
      <c r="C57" s="30"/>
    </row>
    <row r="58" spans="1:14" ht="15" thickBot="1" x14ac:dyDescent="0.35">
      <c r="B58" s="31"/>
      <c r="C58" s="32"/>
    </row>
    <row r="59" spans="1:14" ht="15" thickTop="1" x14ac:dyDescent="0.3">
      <c r="B59" s="30"/>
      <c r="C59" s="30"/>
    </row>
  </sheetData>
  <phoneticPr fontId="5" type="noConversion"/>
  <pageMargins left="0.7" right="0.7" top="0.75" bottom="0.75" header="0.3" footer="0.3"/>
  <pageSetup paperSize="9" orientation="portrait" r:id="rId1"/>
  <drawing r:id="rId2"/>
  <legacy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7" sqref="G7"/>
    </sheetView>
  </sheetViews>
  <sheetFormatPr defaultRowHeight="14.4" x14ac:dyDescent="0.3"/>
  <cols>
    <col min="1" max="1" width="19.109375" customWidth="1"/>
    <col min="2" max="2" width="18.5546875" customWidth="1"/>
    <col min="4" max="4" width="15.109375" customWidth="1"/>
    <col min="5" max="5" width="16.6640625" customWidth="1"/>
    <col min="6" max="6" width="16.44140625" customWidth="1"/>
    <col min="7" max="7" width="41.5546875" customWidth="1"/>
  </cols>
  <sheetData>
    <row r="1" spans="1:7" ht="195.75" customHeight="1" x14ac:dyDescent="0.3">
      <c r="A1" s="2" t="s">
        <v>302</v>
      </c>
      <c r="B1" s="2" t="s">
        <v>303</v>
      </c>
      <c r="C1" s="2" t="s">
        <v>81</v>
      </c>
      <c r="D1" s="2" t="s">
        <v>83</v>
      </c>
      <c r="E1" s="2" t="s">
        <v>84</v>
      </c>
      <c r="F1" s="2" t="s">
        <v>85</v>
      </c>
      <c r="G1" s="2" t="s">
        <v>87</v>
      </c>
    </row>
    <row r="2" spans="1:7" x14ac:dyDescent="0.3">
      <c r="A2" s="1" t="s">
        <v>304</v>
      </c>
      <c r="B2" s="1" t="s">
        <v>305</v>
      </c>
      <c r="C2" s="1" t="s">
        <v>306</v>
      </c>
      <c r="D2" s="1" t="s">
        <v>96</v>
      </c>
      <c r="E2" s="1" t="s">
        <v>97</v>
      </c>
      <c r="F2" s="1" t="s">
        <v>98</v>
      </c>
      <c r="G2" s="1" t="s">
        <v>100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defaultRowHeight="14.4" x14ac:dyDescent="0.3"/>
  <sheetData>
    <row r="1" spans="1:1" ht="111" customHeight="1" x14ac:dyDescent="0.3"/>
    <row r="2" spans="1:1" x14ac:dyDescent="0.3">
      <c r="A2" t="s">
        <v>307</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defaultRowHeight="14.4" x14ac:dyDescent="0.3"/>
  <cols>
    <col min="1" max="1" width="36.5546875" customWidth="1"/>
    <col min="2" max="2" width="52" customWidth="1"/>
  </cols>
  <sheetData>
    <row r="1" spans="1:2" x14ac:dyDescent="0.3">
      <c r="A1" t="s">
        <v>308</v>
      </c>
      <c r="B1" t="s">
        <v>53</v>
      </c>
    </row>
    <row r="2" spans="1:2" ht="28.8" x14ac:dyDescent="0.3">
      <c r="A2" t="s">
        <v>309</v>
      </c>
      <c r="B2" s="3" t="s">
        <v>310</v>
      </c>
    </row>
    <row r="10" spans="1:2" x14ac:dyDescent="0.3">
      <c r="A10" t="s">
        <v>311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9"/>
  <sheetViews>
    <sheetView topLeftCell="C1" workbookViewId="0">
      <selection activeCell="E9" sqref="E9"/>
    </sheetView>
  </sheetViews>
  <sheetFormatPr defaultRowHeight="14.4" x14ac:dyDescent="0.3"/>
  <cols>
    <col min="2" max="2" width="27.6640625" style="3" customWidth="1"/>
    <col min="3" max="3" width="27.5546875" style="3" customWidth="1"/>
    <col min="4" max="4" width="60.109375" style="3" customWidth="1"/>
    <col min="5" max="5" width="47.6640625" style="3" customWidth="1"/>
  </cols>
  <sheetData>
    <row r="2" spans="1:10" x14ac:dyDescent="0.3">
      <c r="B2" s="15" t="s">
        <v>312</v>
      </c>
      <c r="C2" s="12"/>
      <c r="D2" s="12"/>
      <c r="E2" s="12"/>
    </row>
    <row r="3" spans="1:10" x14ac:dyDescent="0.3">
      <c r="B3" s="16" t="s">
        <v>313</v>
      </c>
      <c r="C3" s="16" t="s">
        <v>74</v>
      </c>
      <c r="D3" s="16" t="s">
        <v>314</v>
      </c>
      <c r="E3" s="13" t="s">
        <v>315</v>
      </c>
    </row>
    <row r="4" spans="1:10" ht="156" customHeight="1" x14ac:dyDescent="0.3">
      <c r="B4" s="14" t="s">
        <v>316</v>
      </c>
      <c r="C4" s="14" t="s">
        <v>317</v>
      </c>
      <c r="D4" s="14" t="s">
        <v>318</v>
      </c>
      <c r="E4" s="14"/>
    </row>
    <row r="5" spans="1:10" ht="182.25" customHeight="1" x14ac:dyDescent="0.3">
      <c r="B5" s="14" t="s">
        <v>319</v>
      </c>
      <c r="C5" s="14" t="s">
        <v>320</v>
      </c>
      <c r="D5" s="17" t="s">
        <v>321</v>
      </c>
      <c r="E5" s="14"/>
    </row>
    <row r="6" spans="1:10" ht="45.75" customHeight="1" x14ac:dyDescent="0.3">
      <c r="A6" s="21"/>
      <c r="B6" s="3" t="s">
        <v>279</v>
      </c>
      <c r="C6" s="3" t="s">
        <v>322</v>
      </c>
      <c r="D6" s="22" t="s">
        <v>323</v>
      </c>
      <c r="F6" s="3"/>
      <c r="G6" s="3"/>
      <c r="H6" s="3"/>
      <c r="I6" s="3"/>
      <c r="J6" s="3"/>
    </row>
    <row r="7" spans="1:10" ht="28.8" x14ac:dyDescent="0.3">
      <c r="B7" s="14" t="s">
        <v>324</v>
      </c>
      <c r="C7" s="14" t="s">
        <v>322</v>
      </c>
      <c r="D7" s="14" t="s">
        <v>325</v>
      </c>
      <c r="E7" s="14"/>
    </row>
    <row r="8" spans="1:10" ht="28.8" x14ac:dyDescent="0.3">
      <c r="B8" s="14" t="s">
        <v>328</v>
      </c>
      <c r="C8" s="14"/>
      <c r="D8" s="38" t="s">
        <v>327</v>
      </c>
      <c r="E8" s="14" t="s">
        <v>329</v>
      </c>
    </row>
    <row r="9" spans="1:10" ht="72" x14ac:dyDescent="0.3">
      <c r="B9" s="42"/>
      <c r="C9" s="42" t="s">
        <v>343</v>
      </c>
      <c r="D9" s="42" t="s">
        <v>344</v>
      </c>
      <c r="E9" s="43"/>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Props1.xml><?xml version="1.0" encoding="utf-8"?>
<ds:datastoreItem xmlns:ds="http://schemas.openxmlformats.org/officeDocument/2006/customXml" ds:itemID="{148267B0-4CF5-48A7-B543-CDE45AF0A8FC}">
  <ds:schemaRefs>
    <ds:schemaRef ds:uri="http://schemas.microsoft.com/sharepoint/v3/contenttype/forms"/>
  </ds:schemaRefs>
</ds:datastoreItem>
</file>

<file path=customXml/itemProps2.xml><?xml version="1.0" encoding="utf-8"?>
<ds:datastoreItem xmlns:ds="http://schemas.openxmlformats.org/officeDocument/2006/customXml" ds:itemID="{14B9AD58-A794-48C7-986D-80A9DB4B32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E3A9028-3436-4B29-A420-9ED5B8A085B1}">
  <ds:schemaRefs>
    <ds:schemaRef ds:uri="http://schemas.microsoft.com/office/2006/metadata/properties"/>
    <ds:schemaRef ds:uri="http://schemas.microsoft.com/office/infopath/2007/PartnerControls"/>
    <ds:schemaRef ds:uri="bb18a1b9-ddba-4244-9634-64732d0cb267"/>
    <ds:schemaRef ds:uri="06294a2e-6f87-4144-83b8-94a4d04d144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Uitleg</vt:lpstr>
      <vt:lpstr>Concept</vt:lpstr>
      <vt:lpstr>Bronnen</vt:lpstr>
      <vt:lpstr>Informatiebehoefte</vt:lpstr>
      <vt:lpstr>Ongedekte informatiebehoefte</vt:lpstr>
      <vt:lpstr>Overwegingen voor de toekomst</vt:lpstr>
      <vt:lpstr>Basismodel</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Chevy Susanto</cp:lastModifiedBy>
  <cp:revision/>
  <dcterms:created xsi:type="dcterms:W3CDTF">2026-03-12T13:25:44Z</dcterms:created>
  <dcterms:modified xsi:type="dcterms:W3CDTF">2026-07-30T08:42:43Z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